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ks\"/>
    </mc:Choice>
  </mc:AlternateContent>
  <xr:revisionPtr revIDLastSave="0" documentId="13_ncr:1_{FE88D0A6-98BE-4573-9DB5-43E854568E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hòng thuốc 03_2026" sheetId="37" r:id="rId1"/>
  </sheets>
  <definedNames>
    <definedName name="_xlnm._FilterDatabase" localSheetId="0" hidden="1">'Phòng thuốc 03_2026'!$G$1:$G$177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" i="37" l="1"/>
  <c r="A13" i="37"/>
  <c r="J13" i="37"/>
  <c r="A14" i="37"/>
  <c r="J14" i="37"/>
  <c r="A15" i="37"/>
  <c r="J15" i="37"/>
  <c r="A16" i="37"/>
  <c r="J16" i="37"/>
  <c r="A17" i="37"/>
  <c r="J17" i="37"/>
  <c r="A18" i="37"/>
  <c r="J18" i="37"/>
  <c r="A19" i="37"/>
  <c r="J19" i="37"/>
  <c r="A20" i="37"/>
  <c r="J20" i="37"/>
  <c r="A21" i="37"/>
  <c r="J21" i="37"/>
  <c r="A22" i="37"/>
  <c r="J22" i="37"/>
  <c r="A23" i="37"/>
  <c r="J23" i="37"/>
  <c r="A24" i="37"/>
  <c r="J24" i="37"/>
  <c r="A25" i="37"/>
  <c r="J25" i="37"/>
  <c r="A26" i="37"/>
  <c r="J26" i="37"/>
  <c r="A27" i="37"/>
  <c r="J27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12" i="37"/>
  <c r="A11" i="37"/>
  <c r="A10" i="37"/>
  <c r="A9" i="37"/>
  <c r="A8" i="37"/>
  <c r="A7" i="37"/>
  <c r="A6" i="37"/>
  <c r="A5" i="37"/>
  <c r="A4" i="37"/>
  <c r="A3" i="37"/>
  <c r="A2" i="37"/>
  <c r="J174" i="37"/>
  <c r="J173" i="37"/>
  <c r="J172" i="37"/>
  <c r="J171" i="37"/>
  <c r="J170" i="37"/>
  <c r="J169" i="37"/>
  <c r="J168" i="37"/>
  <c r="J167" i="37"/>
  <c r="J166" i="37"/>
  <c r="J165" i="37"/>
  <c r="J164" i="37"/>
  <c r="J163" i="37"/>
  <c r="J162" i="37"/>
  <c r="J161" i="37"/>
  <c r="J160" i="37"/>
  <c r="J159" i="37"/>
  <c r="J158" i="37"/>
  <c r="J157" i="37"/>
  <c r="J156" i="37"/>
  <c r="J155" i="37"/>
  <c r="J154" i="37"/>
  <c r="J153" i="37"/>
  <c r="J152" i="37"/>
  <c r="J151" i="37"/>
  <c r="J150" i="37"/>
  <c r="J149" i="37"/>
  <c r="J148" i="37"/>
  <c r="J147" i="37"/>
  <c r="J146" i="37"/>
  <c r="J145" i="37"/>
  <c r="J144" i="37"/>
  <c r="J143" i="37"/>
  <c r="J142" i="37"/>
  <c r="J141" i="37"/>
  <c r="J140" i="37"/>
  <c r="J139" i="37"/>
  <c r="J138" i="37"/>
  <c r="J137" i="37"/>
  <c r="J136" i="37"/>
  <c r="J135" i="37"/>
  <c r="J134" i="37"/>
  <c r="J133" i="37"/>
  <c r="J132" i="37"/>
  <c r="J131" i="37"/>
  <c r="J130" i="37"/>
  <c r="J129" i="37"/>
  <c r="J128" i="37"/>
  <c r="J127" i="37"/>
  <c r="J126" i="37"/>
  <c r="J125" i="37"/>
  <c r="J124" i="37"/>
  <c r="J123" i="37"/>
  <c r="J122" i="37"/>
  <c r="J121" i="37"/>
  <c r="J120" i="37"/>
  <c r="J119" i="37"/>
  <c r="J118" i="37"/>
  <c r="J117" i="37"/>
  <c r="J116" i="37"/>
  <c r="J115" i="37"/>
  <c r="J114" i="37"/>
  <c r="J113" i="37"/>
  <c r="J112" i="37"/>
  <c r="J111" i="37"/>
  <c r="J110" i="37"/>
  <c r="J109" i="37"/>
  <c r="J108" i="37"/>
  <c r="J107" i="37"/>
  <c r="J106" i="37"/>
  <c r="J105" i="37"/>
  <c r="J104" i="37"/>
  <c r="J103" i="37"/>
  <c r="J102" i="37"/>
  <c r="J101" i="37"/>
  <c r="J100" i="37"/>
  <c r="J99" i="37"/>
  <c r="J98" i="37"/>
  <c r="J97" i="37"/>
  <c r="J96" i="37"/>
  <c r="J95" i="37"/>
  <c r="J94" i="37"/>
  <c r="J93" i="37"/>
  <c r="J92" i="37"/>
  <c r="J91" i="37"/>
  <c r="J90" i="37"/>
  <c r="J89" i="37"/>
  <c r="J88" i="37"/>
  <c r="J87" i="37"/>
  <c r="J86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J31" i="37"/>
  <c r="J30" i="37"/>
  <c r="J29" i="37"/>
  <c r="J28" i="37"/>
  <c r="J12" i="37"/>
  <c r="J11" i="37"/>
  <c r="J10" i="37"/>
  <c r="J9" i="37"/>
  <c r="J8" i="37"/>
  <c r="J7" i="37"/>
  <c r="J6" i="37"/>
  <c r="J5" i="37"/>
  <c r="J4" i="37"/>
  <c r="J3" i="37"/>
  <c r="J2" i="37"/>
  <c r="V8" i="37" l="1"/>
  <c r="U8" i="37"/>
  <c r="T8" i="37"/>
  <c r="S8" i="37"/>
  <c r="V6" i="37"/>
  <c r="U6" i="37"/>
  <c r="T6" i="37"/>
  <c r="S6" i="37"/>
  <c r="V7" i="37"/>
  <c r="U7" i="37"/>
  <c r="T7" i="37"/>
  <c r="S7" i="37"/>
  <c r="V9" i="37"/>
  <c r="U9" i="37"/>
  <c r="T9" i="37"/>
  <c r="S9" i="37"/>
  <c r="S10" i="37" l="1"/>
  <c r="W7" i="37"/>
  <c r="V15" i="37" s="1"/>
  <c r="W6" i="37"/>
  <c r="V14" i="37" s="1"/>
  <c r="W8" i="37"/>
  <c r="U10" i="37"/>
  <c r="N8" i="37" s="1"/>
  <c r="V10" i="37"/>
  <c r="N9" i="37" s="1"/>
  <c r="T10" i="37"/>
  <c r="N7" i="37" s="1"/>
  <c r="W9" i="37"/>
  <c r="W10" i="37" l="1"/>
  <c r="S16" i="37"/>
  <c r="T16" i="37"/>
  <c r="U16" i="37"/>
  <c r="V16" i="37"/>
  <c r="S14" i="37"/>
  <c r="T14" i="37"/>
  <c r="U14" i="37"/>
  <c r="S17" i="37"/>
  <c r="T17" i="37"/>
  <c r="U17" i="37"/>
  <c r="V17" i="37"/>
  <c r="S15" i="37"/>
  <c r="T15" i="37"/>
  <c r="U15" i="37"/>
  <c r="O6" i="37"/>
  <c r="N6" i="37"/>
  <c r="N10" i="37"/>
  <c r="O8" i="37"/>
  <c r="O9" i="37"/>
  <c r="O7" i="37"/>
  <c r="O10" i="37" s="1"/>
</calcChain>
</file>

<file path=xl/sharedStrings.xml><?xml version="1.0" encoding="utf-8"?>
<sst xmlns="http://schemas.openxmlformats.org/spreadsheetml/2006/main" count="908" uniqueCount="376">
  <si>
    <t>Inside</t>
  </si>
  <si>
    <t>Leader</t>
  </si>
  <si>
    <t>Team</t>
  </si>
  <si>
    <t>Chat</t>
  </si>
  <si>
    <t>STT</t>
  </si>
  <si>
    <t>Họ và tên đầy đủ</t>
  </si>
  <si>
    <t>Mail FPT</t>
  </si>
  <si>
    <t>Lê Thị Thảo Loan</t>
  </si>
  <si>
    <t>loanltt8@fpt.com</t>
  </si>
  <si>
    <t>Tô Thị Hồng Anh</t>
  </si>
  <si>
    <t>CMYD</t>
  </si>
  <si>
    <t>Huỳnh Thanh Trúc</t>
  </si>
  <si>
    <t>trucht5@fpt.com</t>
  </si>
  <si>
    <t>Nguyễn Trần Thủy Tiên</t>
  </si>
  <si>
    <t>tienntt19@fpt.com</t>
  </si>
  <si>
    <t>Nguyễn Ngọc Diệu Tuyền</t>
  </si>
  <si>
    <t>tuyennnd2@fpt.com</t>
  </si>
  <si>
    <t>HueNT39@fpt.com</t>
  </si>
  <si>
    <t>Lê Quang Phương Anh</t>
  </si>
  <si>
    <t>Call</t>
  </si>
  <si>
    <t>Mai Huỳnh Khánh Uyên</t>
  </si>
  <si>
    <t>Hoàng Mạnh Hà</t>
  </si>
  <si>
    <t>HaHM5@fpt.com</t>
  </si>
  <si>
    <t>Nguyễn Thị Thùy Linh</t>
  </si>
  <si>
    <t>Nguyễn Đăng Dương</t>
  </si>
  <si>
    <t>Tạ Thu Hà</t>
  </si>
  <si>
    <t>HaTT59@fpt.com</t>
  </si>
  <si>
    <t>Bùi Cường Vi</t>
  </si>
  <si>
    <t>Vibc@fpt.com</t>
  </si>
  <si>
    <t>Lê Ngọc Lan Vi</t>
  </si>
  <si>
    <t>Huỳnh Kim Linh</t>
  </si>
  <si>
    <t>linhhk21@fpt.com</t>
  </si>
  <si>
    <t>daolq3@fpt.com</t>
  </si>
  <si>
    <t>Nguyễn Thị Hồng Ánh</t>
  </si>
  <si>
    <t>AnhNTH44@fpt.com</t>
  </si>
  <si>
    <t>Vũ Lê Như Uyên</t>
  </si>
  <si>
    <t>Lê Thị Mai Anh</t>
  </si>
  <si>
    <t>AnhLTM9@fpt.com</t>
  </si>
  <si>
    <t>Nguyễn Tuấn Đại</t>
  </si>
  <si>
    <t>daint17@fpt.com</t>
  </si>
  <si>
    <t>Huỳnh Quang Đức</t>
  </si>
  <si>
    <t>Mai Thị Thanh Trà</t>
  </si>
  <si>
    <t>TraMTT10@fpt.com</t>
  </si>
  <si>
    <t>Lê Thị Mỹ Hiền</t>
  </si>
  <si>
    <t>Tick</t>
  </si>
  <si>
    <t>Phan Ngọc Diệu</t>
  </si>
  <si>
    <t>Phạm Hoàng Phương</t>
  </si>
  <si>
    <t>phuongph10@fpt.com</t>
  </si>
  <si>
    <t>Phan Bội Thy</t>
  </si>
  <si>
    <t>ThyPB@fpt.com</t>
  </si>
  <si>
    <t>Huỳnh Thị Ngọc Yến</t>
  </si>
  <si>
    <t>yenhtn@fpt.com</t>
  </si>
  <si>
    <t>Nguyễn Thị Lệ Trinh</t>
  </si>
  <si>
    <t>Phạm Châu Anh</t>
  </si>
  <si>
    <t>AnhPC4@fpt.com</t>
  </si>
  <si>
    <t>Phan Hà Phương Trinh</t>
  </si>
  <si>
    <t>Lê Tuyết Anh</t>
  </si>
  <si>
    <t>Chauntn9@fpt.com</t>
  </si>
  <si>
    <t>Trần Văn Tâm</t>
  </si>
  <si>
    <t>Lê Thị Hồng Nhung</t>
  </si>
  <si>
    <t>Nguyễn Thị Vân Nhi</t>
  </si>
  <si>
    <t>Đặng Thu Hà</t>
  </si>
  <si>
    <t>Nguyễn Võ Như Ý</t>
  </si>
  <si>
    <t>YNVN3@fpt.com</t>
  </si>
  <si>
    <t>Nguyễn Ngọc Mai</t>
  </si>
  <si>
    <t>mainn16@fpt.com</t>
  </si>
  <si>
    <t>Lê Anh</t>
  </si>
  <si>
    <t>Nguyễn Thị Kim Yến</t>
  </si>
  <si>
    <t>Yenntk13@fpt.com</t>
  </si>
  <si>
    <t>Hoàng Đình Nhân</t>
  </si>
  <si>
    <t>Nguyễn Thị Ánh Hồng</t>
  </si>
  <si>
    <t>Nông Thị Tuyên</t>
  </si>
  <si>
    <t>TuyenNT44@fpt.com</t>
  </si>
  <si>
    <t>Lương Trần Bảo Phúc</t>
  </si>
  <si>
    <t>Nguyễn Thị Thanh Vân</t>
  </si>
  <si>
    <t>Dương Thu Huyền</t>
  </si>
  <si>
    <t>Phạm Thu Hà</t>
  </si>
  <si>
    <t>Nguyễn Mạnh Kiên</t>
  </si>
  <si>
    <t>Đặng Thị Hạnh Tuyền</t>
  </si>
  <si>
    <t>tuyendth3@fpt.com</t>
  </si>
  <si>
    <t>Nguyễn Thị Dung</t>
  </si>
  <si>
    <t>Võ Hải Hưng</t>
  </si>
  <si>
    <t>HungVH5@fpt.com</t>
  </si>
  <si>
    <t>Chu Thị Quỳnh</t>
  </si>
  <si>
    <t>quynhct2@fpt.com</t>
  </si>
  <si>
    <t>Trần Thị Sen</t>
  </si>
  <si>
    <t>sentt5@fpt.com</t>
  </si>
  <si>
    <t>Nguyễn Quỳnh Trang</t>
  </si>
  <si>
    <t>Nguyễn Hải Anh Thư</t>
  </si>
  <si>
    <t>thunha7@fpt.com</t>
  </si>
  <si>
    <t>Nguyễn Thị Mai Hương</t>
  </si>
  <si>
    <t>Trần Tiến Công</t>
  </si>
  <si>
    <t>Nguyễn Thị Cần</t>
  </si>
  <si>
    <t>Nguyễn Mai Anh</t>
  </si>
  <si>
    <t>Phạm Mai Anh</t>
  </si>
  <si>
    <t>AnhPM8@fpt.com</t>
  </si>
  <si>
    <t>nganth30@fpt.com</t>
  </si>
  <si>
    <t>Trương Ngọc Anh</t>
  </si>
  <si>
    <t>AnhTN28@fpt.com</t>
  </si>
  <si>
    <t>Nguyễn Võ Lam Vi</t>
  </si>
  <si>
    <t>ViNVL3@fpt.com</t>
  </si>
  <si>
    <t>Nguyễn Phương Lan</t>
  </si>
  <si>
    <t>lannp9@fpt.com</t>
  </si>
  <si>
    <t>Vũ Thị Thảo</t>
  </si>
  <si>
    <t>LÊ DIỆU PHÁP</t>
  </si>
  <si>
    <t>PhapLD2@fpt.com</t>
  </si>
  <si>
    <t>Trần Ngọc Lan</t>
  </si>
  <si>
    <t>LanTN2@fpt.com</t>
  </si>
  <si>
    <t>Lê Thị Thương Huyền</t>
  </si>
  <si>
    <t>Hà Phương Thảo</t>
  </si>
  <si>
    <t>Nguyễn Thanh Tâm</t>
  </si>
  <si>
    <t>Vũ Khánh Linh</t>
  </si>
  <si>
    <t>Linhvk8@fpt.com</t>
  </si>
  <si>
    <t>Nguyễn Văn Anh</t>
  </si>
  <si>
    <t>anhnv103@fpt.com</t>
  </si>
  <si>
    <t>Tống Bích Ngọc</t>
  </si>
  <si>
    <t>Phạm Huỳnh Thảo Nguyên</t>
  </si>
  <si>
    <t>NguyenPHT2@fpt.com</t>
  </si>
  <si>
    <t>Nguyễn Phương Thảo</t>
  </si>
  <si>
    <t>ThaoNP50@fpt.com</t>
  </si>
  <si>
    <t>Nguyễn Thị Thu Uyên</t>
  </si>
  <si>
    <t>Vũ Thị Hương Dung</t>
  </si>
  <si>
    <t>DungVTH4@fpt.com</t>
  </si>
  <si>
    <t>Hoàng Lan Nhi</t>
  </si>
  <si>
    <t>NhiHL@fpt.com</t>
  </si>
  <si>
    <t>Lê Thị Hồng Linh</t>
  </si>
  <si>
    <t>LinhLTH9@fpt.com</t>
  </si>
  <si>
    <t>Phan Tiểu Thanh Trúc</t>
  </si>
  <si>
    <t>Ngô Thị Bích Lựu</t>
  </si>
  <si>
    <t>Luuntb4@fpt.com</t>
  </si>
  <si>
    <t>Nguyễn Hoàng Khánh Linh</t>
  </si>
  <si>
    <t>Huỳnh Thanh Ngọc</t>
  </si>
  <si>
    <t>Nguyễn Minh Tiến</t>
  </si>
  <si>
    <t>VŨ THỊ THÚY</t>
  </si>
  <si>
    <t>thuyvt71@fpt.com</t>
  </si>
  <si>
    <t>Ngô Nhật Tân</t>
  </si>
  <si>
    <t>Kiều Thùy Linh</t>
  </si>
  <si>
    <t>Cù Thị Thu</t>
  </si>
  <si>
    <t>Thiều Thị Kim Doan</t>
  </si>
  <si>
    <t>Đoàn Minh An</t>
  </si>
  <si>
    <t>Andm3@fpt.com</t>
  </si>
  <si>
    <t>Bùi Thị Kim Yến</t>
  </si>
  <si>
    <t>Trịnh Thị Mỹ Vi</t>
  </si>
  <si>
    <t>Lê Vũ Hoàng</t>
  </si>
  <si>
    <t>Hoanglv37@fpt.com</t>
  </si>
  <si>
    <t>Hồ Như Trúc Mai</t>
  </si>
  <si>
    <t>maihnt@fpt.com</t>
  </si>
  <si>
    <t>Nguyễn Hoàng Minh Hiếu</t>
  </si>
  <si>
    <t>HieuNHM3@fpt.com</t>
  </si>
  <si>
    <t>HuyenLTK4@fpt.com</t>
  </si>
  <si>
    <t>Nguyễn Thị Khánh</t>
  </si>
  <si>
    <t>Nguyễn Thị Hồng Hạnh</t>
  </si>
  <si>
    <t>Trương Thị Vy</t>
  </si>
  <si>
    <t>vytt19@fpt.com</t>
  </si>
  <si>
    <t>Lê Khánh Ngọc</t>
  </si>
  <si>
    <t>ngoclk2@fpt.com</t>
  </si>
  <si>
    <t>Lê Thị Lệ Hằng</t>
  </si>
  <si>
    <t>HangLTL2@fpt.com</t>
  </si>
  <si>
    <t>Trương Thị Tuyết Trân</t>
  </si>
  <si>
    <t>duynpd2@fpt.com</t>
  </si>
  <si>
    <t>Bùi Giáng Hương</t>
  </si>
  <si>
    <t>HuongBG@fpt.com</t>
  </si>
  <si>
    <t>Đỗ Nguyễn Tường Vi</t>
  </si>
  <si>
    <t>ViDNT4@fpt.com</t>
  </si>
  <si>
    <t>Trịnh Thu Nga</t>
  </si>
  <si>
    <t>NgaTT24@fpt.com</t>
  </si>
  <si>
    <t>Nguyễn Thị Quỳnh</t>
  </si>
  <si>
    <t>QuynhNT49@fpt.com</t>
  </si>
  <si>
    <t>Nguyễn Bích Diệp</t>
  </si>
  <si>
    <t>Trương Thị Hương Thảo</t>
  </si>
  <si>
    <t>linhntt67@fpt.com</t>
  </si>
  <si>
    <t>Kim Ánh Ngọc</t>
  </si>
  <si>
    <t>NgocKA@fpt.com</t>
  </si>
  <si>
    <t>Võ Thị Ngọc Hân</t>
  </si>
  <si>
    <t>HanVTN4@fpt.com</t>
  </si>
  <si>
    <t>Trương Thị Trang</t>
  </si>
  <si>
    <t>trangtt98@fpt.com</t>
  </si>
  <si>
    <t>Lê Thị Kiều Hạnh</t>
  </si>
  <si>
    <t>HanhLTK2@fpt.com</t>
  </si>
  <si>
    <t>Nguyễn Thị Trà Giang</t>
  </si>
  <si>
    <t>anhlqp3@fpt.com</t>
  </si>
  <si>
    <t>Nhintv2@fpt.com</t>
  </si>
  <si>
    <t>KhanhNT30@fpt.com</t>
  </si>
  <si>
    <t>UyenVLN@fpt.com</t>
  </si>
  <si>
    <t>TuLM10@fpt.com</t>
  </si>
  <si>
    <t>TrucPTT5@fpt.com</t>
  </si>
  <si>
    <t>Nguyễn Thị Ngọc Hân</t>
  </si>
  <si>
    <t>vunl16@fpt.com</t>
  </si>
  <si>
    <t>AnhLT185@fpt.com</t>
  </si>
  <si>
    <t>Nguyễn Thị Ngọc Châu</t>
  </si>
  <si>
    <t>Trần Vi</t>
  </si>
  <si>
    <t>tiennm50@fpt.com</t>
  </si>
  <si>
    <t>Quách Nguyễn Phương Vy</t>
  </si>
  <si>
    <t>Đỗ Thu Trang</t>
  </si>
  <si>
    <t>TrangDT80@fpt.com</t>
  </si>
  <si>
    <t>ngô phan đức duy</t>
  </si>
  <si>
    <t>TanNN23@FPT.COM</t>
  </si>
  <si>
    <t>TRỊNH THỊ THÙY TRANG</t>
  </si>
  <si>
    <t>Nguyễn Phan Quỳnh Anh</t>
  </si>
  <si>
    <t>Nguyễn Ngọc Trâm</t>
  </si>
  <si>
    <t>TramNN18@fpt.com</t>
  </si>
  <si>
    <t>Thaovt22@fpt.com</t>
  </si>
  <si>
    <t>Từ Thị Tú Uyên</t>
  </si>
  <si>
    <t>UyenTTT19@fpt.com</t>
  </si>
  <si>
    <t>linhntt77@fpt.com</t>
  </si>
  <si>
    <t>Mạc Thị Tuyết Anh</t>
  </si>
  <si>
    <t>AnhMTT@fpt.com</t>
  </si>
  <si>
    <t>Trần Lê Hải Bình</t>
  </si>
  <si>
    <t>Nguyễn Như Quỳnh</t>
  </si>
  <si>
    <t>QuynhNN62@fpt.com</t>
  </si>
  <si>
    <t>nguyễn thị phương vân</t>
  </si>
  <si>
    <t>vanntp@fpt.com</t>
  </si>
  <si>
    <t>Nguyễn Ngọc Thanh Ngân</t>
  </si>
  <si>
    <t>Nguyễn Trần Kim Kha</t>
  </si>
  <si>
    <t>LinhKT9@fpt.com</t>
  </si>
  <si>
    <t>Thaohp12@fpt.com</t>
  </si>
  <si>
    <t>ngocht18@fpt.com</t>
  </si>
  <si>
    <t>Phạm Hoàng Minh</t>
  </si>
  <si>
    <t>Khantk4@fpt.com</t>
  </si>
  <si>
    <t>Phan Thị Minh Hạ</t>
  </si>
  <si>
    <t>vilnl@fpt.com</t>
  </si>
  <si>
    <t>Nguyễn Hoàng Trân</t>
  </si>
  <si>
    <t>NGUYỄN LÊ VŨ</t>
  </si>
  <si>
    <t>anhl4@fpt.com</t>
  </si>
  <si>
    <t>HuyenDT67@fpt.com</t>
  </si>
  <si>
    <t>Văn Thị Yến Như</t>
  </si>
  <si>
    <t>NhiNTT20@fpt.com</t>
  </si>
  <si>
    <t>Minhph23@fpt.com</t>
  </si>
  <si>
    <t>HongNTA5@fpt.com</t>
  </si>
  <si>
    <t>Nguyễn Hoàng Kim Ngân</t>
  </si>
  <si>
    <t>TRANGTTT142@FPT.COM</t>
  </si>
  <si>
    <t>Trần Thị Khánh Huyền</t>
  </si>
  <si>
    <t>Huyenttk13@fpt.com</t>
  </si>
  <si>
    <t>Võ Thị Trúc Mai</t>
  </si>
  <si>
    <t>MaiVTT5@fpt.com</t>
  </si>
  <si>
    <t>mai đoàn anh thư</t>
  </si>
  <si>
    <t>Nguyễn Lê Khánh Huyền</t>
  </si>
  <si>
    <t>HuyenNLK@fpt.com</t>
  </si>
  <si>
    <t>NhuVTY2@fpt.com</t>
  </si>
  <si>
    <t>NhungLTH52@fpt.com</t>
  </si>
  <si>
    <t>Vittm2@fpt.com</t>
  </si>
  <si>
    <t>KienNM5@fpt.com</t>
  </si>
  <si>
    <t>haptm2@fpt.com</t>
  </si>
  <si>
    <t>Nguyễn Thu Hương</t>
  </si>
  <si>
    <t>UyenNTT44@fpt.com</t>
  </si>
  <si>
    <t>Total points</t>
  </si>
  <si>
    <t>Đánh giá</t>
  </si>
  <si>
    <t>Giỏi</t>
  </si>
  <si>
    <t>Khá</t>
  </si>
  <si>
    <t>Grand Total</t>
  </si>
  <si>
    <t>Tiêu chí</t>
  </si>
  <si>
    <t>Số lượng</t>
  </si>
  <si>
    <t>Tỷ lệ</t>
  </si>
  <si>
    <t>Trung bình</t>
  </si>
  <si>
    <t>Yếu</t>
  </si>
  <si>
    <t>Tổng</t>
  </si>
  <si>
    <t>TamNT124@fpt.com</t>
  </si>
  <si>
    <t>TrangNQ23@fpt.com</t>
  </si>
  <si>
    <t>phuongnth71@fpt.com</t>
  </si>
  <si>
    <t>DiepNTN10@fpt.com</t>
  </si>
  <si>
    <t>TranTTT4@fpt.com</t>
  </si>
  <si>
    <t>Lê Thị Hoàng Oanh</t>
  </si>
  <si>
    <t>DoanTTK@fpt.com</t>
  </si>
  <si>
    <t>HienLTM9@fpt.com</t>
  </si>
  <si>
    <t>TrinhPHP2@fpt.com</t>
  </si>
  <si>
    <t>Nguyễn Phước Lộc</t>
  </si>
  <si>
    <t>HanhNTH25@fpt.com</t>
  </si>
  <si>
    <t>Nguyễn Thị Thảo Nhi</t>
  </si>
  <si>
    <t>Nguyễn Thị Thanh Hoà</t>
  </si>
  <si>
    <t>DuongND46@fpt.com</t>
  </si>
  <si>
    <t>NganNNT10@fpt.com</t>
  </si>
  <si>
    <t>DieuPTN2@fpt.com</t>
  </si>
  <si>
    <t>AnhTTH34@fpt.com</t>
  </si>
  <si>
    <t>Trần Thị Phương Chi</t>
  </si>
  <si>
    <t>ChiTTP5@fpt.com</t>
  </si>
  <si>
    <t>HuongNT208@fpt.com</t>
  </si>
  <si>
    <t>Phạm Thị Thu</t>
  </si>
  <si>
    <t>ThuPT38@fpt.com</t>
  </si>
  <si>
    <t>Trần Thị Thu Huyền</t>
  </si>
  <si>
    <t>HuyenTTT34@fpt.com</t>
  </si>
  <si>
    <t>Vũ Đức Thắng</t>
  </si>
  <si>
    <t>Võ Thị Cẩm Nhung</t>
  </si>
  <si>
    <t>NhungVTC3@fpt.com</t>
  </si>
  <si>
    <t>ngoctb21@fpt.com</t>
  </si>
  <si>
    <t>ChiTTP5</t>
  </si>
  <si>
    <t>LocNP6</t>
  </si>
  <si>
    <t>binhtlh@fpt.com</t>
  </si>
  <si>
    <t>AnhNM70</t>
  </si>
  <si>
    <t>59649</t>
  </si>
  <si>
    <t>Trương Thị Hằng</t>
  </si>
  <si>
    <t>hadt78@fpt.com</t>
  </si>
  <si>
    <t>Nguyễn Thị huệ</t>
  </si>
  <si>
    <t>Linhnhk@fpt.com</t>
  </si>
  <si>
    <t>CanNT2</t>
  </si>
  <si>
    <t>Huongntm20@fpt.com</t>
  </si>
  <si>
    <t>Thangvd22@fpt.com</t>
  </si>
  <si>
    <t>CongTT10@fpt.com</t>
  </si>
  <si>
    <t xml:space="preserve">oanhlth9@fpt.com </t>
  </si>
  <si>
    <t>Dungnt395@fpt.com</t>
  </si>
  <si>
    <t>NhanHD4@FPT.COM</t>
  </si>
  <si>
    <t>Hoàng Khánh Linh</t>
  </si>
  <si>
    <t>LinhHK27</t>
  </si>
  <si>
    <t xml:space="preserve">Phạm Hồ Mai Khôi </t>
  </si>
  <si>
    <t>Nguyễn Ngọc Quỳnh Như</t>
  </si>
  <si>
    <t>Trần Duy Khoa</t>
  </si>
  <si>
    <t>Lê Bảo Quỳnh</t>
  </si>
  <si>
    <t>Nguyễn Thị Hải Yến</t>
  </si>
  <si>
    <t>Trương Thị Hoàng Yến</t>
  </si>
  <si>
    <t>Nguyễn Thị Thu Hà</t>
  </si>
  <si>
    <t>Trần Thị Thuỳ Trang</t>
  </si>
  <si>
    <t>Lê Như Ngọc</t>
  </si>
  <si>
    <t>Trần Bảo Quyên</t>
  </si>
  <si>
    <t>Huỳnh Trần Tường Vi</t>
  </si>
  <si>
    <t>Nguyễn Thị Như Quỳnh</t>
  </si>
  <si>
    <t>Mào Thị Chín</t>
  </si>
  <si>
    <t>Trần Thị Hồng Ngọc</t>
  </si>
  <si>
    <t>Đỗ Diệp Minh</t>
  </si>
  <si>
    <t>Nguyễn Thị Hồng Ngọc</t>
  </si>
  <si>
    <t>Hoàng Lan Phượng</t>
  </si>
  <si>
    <t>Lương Thùy Linh</t>
  </si>
  <si>
    <t>Vũ Tiến Thành</t>
  </si>
  <si>
    <t>Trịnh Thị Thúy Quỳnh</t>
  </si>
  <si>
    <t>📊 Tổng hợp đánh giá Tháng 03</t>
  </si>
  <si>
    <t>Nhunnq5@fpt.com</t>
  </si>
  <si>
    <t>Diepnb6@fpt.com</t>
  </si>
  <si>
    <t xml:space="preserve">VanNTT65 </t>
  </si>
  <si>
    <t>HangTT88@fpt.com</t>
  </si>
  <si>
    <t>UyenMHK @fpt.com</t>
  </si>
  <si>
    <t>thumda@fpt..com</t>
  </si>
  <si>
    <t>GiangNTT47@pft.com</t>
  </si>
  <si>
    <t>Nguyễn CHí Thanh</t>
  </si>
  <si>
    <t>Thanhnc90@fpt.com</t>
  </si>
  <si>
    <t>YenNTK18@fpt.com</t>
  </si>
  <si>
    <t>NgocNTH74@fpt.com</t>
  </si>
  <si>
    <t>LÊ QUANG ĐẠO</t>
  </si>
  <si>
    <t>Vit2</t>
  </si>
  <si>
    <t>QuynhTTT12@fpt.com</t>
  </si>
  <si>
    <t>HaPT72</t>
  </si>
  <si>
    <t xml:space="preserve">HanNTN38@fpt.com </t>
  </si>
  <si>
    <t>KhoaTD62@fpt.com</t>
  </si>
  <si>
    <t>LinhLT110@fpt.com</t>
  </si>
  <si>
    <t>YenTTH25@fpt.com</t>
  </si>
  <si>
    <t>yennth105@fpt.com</t>
  </si>
  <si>
    <t>LƯU MỸ TÚ</t>
  </si>
  <si>
    <t xml:space="preserve">Huyenltt29 </t>
  </si>
  <si>
    <t>NgocLN10@fpt.com</t>
  </si>
  <si>
    <t>PhuongHL4@fpt.com</t>
  </si>
  <si>
    <t>Trannh@fpt.com</t>
  </si>
  <si>
    <t>hoantt53</t>
  </si>
  <si>
    <t xml:space="preserve">PhucLTB2 </t>
  </si>
  <si>
    <t>VyQNP@gmail.com</t>
  </si>
  <si>
    <t>Nguyễn Thị Ngọc DIệp</t>
  </si>
  <si>
    <t>KhoiPHM2</t>
  </si>
  <si>
    <t>QuynhLB@fpt.com</t>
  </si>
  <si>
    <t>trương anh thư</t>
  </si>
  <si>
    <t>thuta13Fpt.com</t>
  </si>
  <si>
    <t>QuyenTB6@fpt.com</t>
  </si>
  <si>
    <t>ThanhVT57</t>
  </si>
  <si>
    <t>ThanhVT57@fpt.com</t>
  </si>
  <si>
    <t>ngannhk4</t>
  </si>
  <si>
    <t>trương hồng ngân</t>
  </si>
  <si>
    <t>TrangTTT64@fpt.com</t>
  </si>
  <si>
    <t>TAMTV19@fpt.com</t>
  </si>
  <si>
    <t>ThaoTTH10</t>
  </si>
  <si>
    <t>Vihtt14@fpt.com</t>
  </si>
  <si>
    <t>HaNTT135@fpt.com</t>
  </si>
  <si>
    <t>ChinMT@fpt.com</t>
  </si>
  <si>
    <t>LÊ THỊ KHÁNH HUYỀN</t>
  </si>
  <si>
    <t>MinhDD38@fpt.com</t>
  </si>
  <si>
    <t>ngoctth25@fpt.com</t>
  </si>
  <si>
    <t>NGuyễn Thị Hà Phương</t>
  </si>
  <si>
    <t>QuynhNTN96@fpt.com</t>
  </si>
  <si>
    <t>LinhHK27@fpt.com</t>
  </si>
  <si>
    <t>Tháng</t>
  </si>
  <si>
    <t xml:space="preserve">Phòng </t>
  </si>
  <si>
    <t>Thuốc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</si>
</sst>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2"/>
      <color rgb="FFFFFFFF"/>
      <name val="Calibri"/>
    </font>
    <font>
      <b/>
      <sz val="10"/>
      <color rgb="FF000000"/>
      <name val="Arial"/>
      <scheme val="minor"/>
    </font>
    <font>
      <b/>
      <sz val="13.5"/>
      <color rgb="FF000000"/>
      <name val="Arial"/>
      <scheme val="minor"/>
    </font>
    <font>
      <sz val="11"/>
      <color rgb="FF000000"/>
      <name val="Calibri"/>
      <family val="2"/>
    </font>
    <font>
      <u/>
      <sz val="10"/>
      <color theme="10"/>
      <name val="Arial"/>
      <scheme val="minor"/>
    </font>
    <font>
      <sz val="10"/>
      <color rgb="FF000000"/>
      <name val="Calibri"/>
    </font>
    <font>
      <b/>
      <sz val="10"/>
      <color rgb="FFFFFFFF"/>
      <name val="Calibri"/>
    </font>
    <font>
      <sz val="12"/>
      <color rgb="FF000000"/>
      <name val="Calibri"/>
    </font>
    <font>
      <sz val="12"/>
      <color theme="1"/>
      <name val="Calibri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4" borderId="0" xfId="0" applyFont="1" applyFill="1"/>
    <xf numFmtId="9" fontId="2" fillId="4" borderId="0" xfId="0" applyNumberFormat="1" applyFont="1" applyFill="1" applyAlignment="1">
      <alignment horizontal="right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0" borderId="1" xfId="0" applyBorder="1"/>
    <xf numFmtId="0" fontId="8" fillId="0" borderId="0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1" applyFill="1" applyBorder="1" applyAlignment="1">
      <alignment horizontal="center"/>
    </xf>
    <xf numFmtId="0" fontId="5" fillId="0" borderId="0" xfId="0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tk4@f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4C59-2152-435F-8D7E-1D1E5F7558DB}">
  <dimension ref="A1:AC177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2.75" x14ac:dyDescent="0.2"/>
  <cols>
    <col min="1" max="1" width="4" style="19" bestFit="1" customWidth="1"/>
    <col min="2" max="3" width="9.28515625" style="18" customWidth="1"/>
    <col min="4" max="4" width="35.85546875" style="19" customWidth="1"/>
    <col min="5" max="5" width="27.7109375" style="19" customWidth="1"/>
    <col min="6" max="7" width="35.85546875" style="19" customWidth="1"/>
    <col min="8" max="8" width="16.7109375" style="19" customWidth="1"/>
    <col min="9" max="9" width="20.7109375" style="19" customWidth="1"/>
    <col min="10" max="10" width="28.28515625" style="19" customWidth="1"/>
    <col min="13" max="13" width="13" customWidth="1"/>
    <col min="18" max="18" width="18.42578125" customWidth="1"/>
    <col min="19" max="24" width="11.140625" customWidth="1"/>
  </cols>
  <sheetData>
    <row r="1" spans="1:29" x14ac:dyDescent="0.2">
      <c r="A1" s="23" t="s">
        <v>4</v>
      </c>
      <c r="B1" s="23" t="s">
        <v>373</v>
      </c>
      <c r="C1" s="23" t="s">
        <v>374</v>
      </c>
      <c r="D1" s="23" t="s">
        <v>5</v>
      </c>
      <c r="E1" s="23" t="s">
        <v>0</v>
      </c>
      <c r="F1" s="23" t="s">
        <v>6</v>
      </c>
      <c r="G1" s="23" t="s">
        <v>1</v>
      </c>
      <c r="H1" s="23" t="s">
        <v>2</v>
      </c>
      <c r="I1" s="23" t="s">
        <v>245</v>
      </c>
      <c r="J1" s="23" t="s">
        <v>246</v>
      </c>
    </row>
    <row r="2" spans="1:29" ht="15" x14ac:dyDescent="0.25">
      <c r="A2" s="7">
        <f>ROW()-1</f>
        <v>1</v>
      </c>
      <c r="B2" s="21">
        <v>3</v>
      </c>
      <c r="C2" s="21" t="s">
        <v>375</v>
      </c>
      <c r="D2" s="24" t="s">
        <v>115</v>
      </c>
      <c r="E2" s="24">
        <v>42670</v>
      </c>
      <c r="F2" s="24" t="s">
        <v>283</v>
      </c>
      <c r="G2" s="25" t="s">
        <v>115</v>
      </c>
      <c r="H2" s="24" t="s">
        <v>44</v>
      </c>
      <c r="I2" s="7">
        <v>7.5</v>
      </c>
      <c r="J2" s="7" t="str">
        <f t="shared" ref="J2:J33" si="0">IF(I2&gt;=8,"Giỏi",IF(I2&gt;=6.5,"Khá",IF(I2&gt;=4.5,"Trung bình","Yếu")))</f>
        <v>Khá</v>
      </c>
    </row>
    <row r="3" spans="1:29" ht="17.25" x14ac:dyDescent="0.25">
      <c r="A3" s="7">
        <f t="shared" ref="A3:A66" si="1">ROW()-1</f>
        <v>2</v>
      </c>
      <c r="B3" s="21">
        <v>3</v>
      </c>
      <c r="C3" s="21" t="s">
        <v>375</v>
      </c>
      <c r="D3" s="24" t="s">
        <v>24</v>
      </c>
      <c r="E3" s="14" t="s">
        <v>288</v>
      </c>
      <c r="F3" s="24" t="s">
        <v>269</v>
      </c>
      <c r="G3" s="25" t="s">
        <v>137</v>
      </c>
      <c r="H3" s="24" t="s">
        <v>3</v>
      </c>
      <c r="I3" s="7">
        <v>6</v>
      </c>
      <c r="J3" s="7" t="str">
        <f t="shared" si="0"/>
        <v>Trung bình</v>
      </c>
      <c r="M3" s="27" t="s">
        <v>322</v>
      </c>
      <c r="N3" s="27"/>
      <c r="O3" s="27"/>
      <c r="P3" s="27"/>
    </row>
    <row r="4" spans="1:29" ht="15" x14ac:dyDescent="0.25">
      <c r="A4" s="7">
        <f t="shared" si="1"/>
        <v>3</v>
      </c>
      <c r="B4" s="21">
        <v>3</v>
      </c>
      <c r="C4" s="21" t="s">
        <v>375</v>
      </c>
      <c r="D4" s="24" t="s">
        <v>71</v>
      </c>
      <c r="E4" s="24">
        <v>42816</v>
      </c>
      <c r="F4" s="24" t="s">
        <v>72</v>
      </c>
      <c r="G4" s="25" t="s">
        <v>71</v>
      </c>
      <c r="H4" s="24" t="s">
        <v>44</v>
      </c>
      <c r="I4" s="7">
        <v>7.5</v>
      </c>
      <c r="J4" s="7" t="str">
        <f t="shared" si="0"/>
        <v>Khá</v>
      </c>
      <c r="M4" s="6"/>
      <c r="N4" s="6"/>
      <c r="O4" s="6"/>
    </row>
    <row r="5" spans="1:29" ht="15.75" x14ac:dyDescent="0.25">
      <c r="A5" s="7">
        <f t="shared" si="1"/>
        <v>4</v>
      </c>
      <c r="B5" s="21">
        <v>3</v>
      </c>
      <c r="C5" s="21" t="s">
        <v>375</v>
      </c>
      <c r="D5" s="24" t="s">
        <v>90</v>
      </c>
      <c r="E5" s="24">
        <v>53486</v>
      </c>
      <c r="F5" s="24" t="s">
        <v>294</v>
      </c>
      <c r="G5" s="25" t="s">
        <v>150</v>
      </c>
      <c r="H5" s="24" t="s">
        <v>19</v>
      </c>
      <c r="I5" s="7">
        <v>8.5</v>
      </c>
      <c r="J5" s="7" t="str">
        <f t="shared" si="0"/>
        <v>Giỏi</v>
      </c>
      <c r="M5" s="13" t="s">
        <v>250</v>
      </c>
      <c r="N5" s="13" t="s">
        <v>251</v>
      </c>
      <c r="O5" s="13" t="s">
        <v>252</v>
      </c>
      <c r="R5" s="1" t="s">
        <v>2</v>
      </c>
      <c r="S5" s="1" t="s">
        <v>247</v>
      </c>
      <c r="T5" s="1" t="s">
        <v>248</v>
      </c>
      <c r="U5" s="1" t="s">
        <v>253</v>
      </c>
      <c r="V5" s="1" t="s">
        <v>254</v>
      </c>
      <c r="W5" s="1" t="s">
        <v>249</v>
      </c>
      <c r="Y5" s="18"/>
    </row>
    <row r="6" spans="1:29" ht="15" x14ac:dyDescent="0.25">
      <c r="A6" s="7">
        <f t="shared" si="1"/>
        <v>5</v>
      </c>
      <c r="B6" s="21">
        <v>3</v>
      </c>
      <c r="C6" s="21" t="s">
        <v>375</v>
      </c>
      <c r="D6" s="24" t="s">
        <v>77</v>
      </c>
      <c r="E6" s="24">
        <v>47583</v>
      </c>
      <c r="F6" s="24" t="s">
        <v>241</v>
      </c>
      <c r="G6" s="25" t="s">
        <v>150</v>
      </c>
      <c r="H6" s="24" t="s">
        <v>19</v>
      </c>
      <c r="I6" s="7">
        <v>7</v>
      </c>
      <c r="J6" s="7" t="str">
        <f t="shared" si="0"/>
        <v>Khá</v>
      </c>
      <c r="M6" s="7" t="s">
        <v>247</v>
      </c>
      <c r="N6" s="7">
        <f>S10</f>
        <v>73</v>
      </c>
      <c r="O6" s="8">
        <f>S10/W10</f>
        <v>0.42196531791907516</v>
      </c>
      <c r="R6" s="3" t="s">
        <v>3</v>
      </c>
      <c r="S6" s="3">
        <f>COUNTIFS('Phòng thuốc 03_2026'!$H:$H,"Chat", 'Phòng thuốc 03_2026'!$J:$J, "Giỏi")</f>
        <v>25</v>
      </c>
      <c r="T6" s="3">
        <f>COUNTIFS('Phòng thuốc 03_2026'!$H:$H,"Chat", 'Phòng thuốc 03_2026'!$J:$J, "Khá")</f>
        <v>28</v>
      </c>
      <c r="U6" s="3">
        <f>COUNTIFS('Phòng thuốc 03_2026'!$H:$H,"Chat", 'Phòng thuốc 03_2026'!$J:$J, "Trung bình")</f>
        <v>10</v>
      </c>
      <c r="V6" s="3">
        <f>COUNTIFS('Phòng thuốc 03_2026'!$H:$H,"Chat", 'Phòng thuốc 03_2026'!$J:$J, "Yếu")</f>
        <v>0</v>
      </c>
      <c r="W6" s="3">
        <f>SUM(S6:V6)</f>
        <v>63</v>
      </c>
    </row>
    <row r="7" spans="1:29" ht="15" x14ac:dyDescent="0.25">
      <c r="A7" s="7">
        <f t="shared" si="1"/>
        <v>6</v>
      </c>
      <c r="B7" s="21">
        <v>3</v>
      </c>
      <c r="C7" s="21" t="s">
        <v>375</v>
      </c>
      <c r="D7" s="24" t="s">
        <v>212</v>
      </c>
      <c r="E7" s="24">
        <v>63390</v>
      </c>
      <c r="F7" s="24" t="s">
        <v>270</v>
      </c>
      <c r="G7" s="25" t="s">
        <v>171</v>
      </c>
      <c r="H7" s="24" t="s">
        <v>3</v>
      </c>
      <c r="I7" s="7">
        <v>7.5</v>
      </c>
      <c r="J7" s="7" t="str">
        <f t="shared" si="0"/>
        <v>Khá</v>
      </c>
      <c r="M7" s="7" t="s">
        <v>248</v>
      </c>
      <c r="N7" s="7">
        <f>T10</f>
        <v>75</v>
      </c>
      <c r="O7" s="8">
        <f>T10/W10</f>
        <v>0.43352601156069365</v>
      </c>
      <c r="R7" s="3" t="s">
        <v>19</v>
      </c>
      <c r="S7" s="3">
        <f>COUNTIFS('Phòng thuốc 03_2026'!$H:$H,"Call", 'Phòng thuốc 03_2026'!$J:$J, "Giỏi")</f>
        <v>33</v>
      </c>
      <c r="T7" s="3">
        <f>COUNTIFS('Phòng thuốc 03_2026'!$H:$H,"Call", 'Phòng thuốc 03_2026'!$J:$J, "Khá")</f>
        <v>20</v>
      </c>
      <c r="U7" s="3">
        <f>COUNTIFS('Phòng thuốc 03_2026'!$H:$H,"Call", 'Phòng thuốc 03_2026'!$J:$J, "Trung bình")</f>
        <v>3</v>
      </c>
      <c r="V7" s="3">
        <f>COUNTIFS('Phòng thuốc 03_2026'!$H:$H,"Call", 'Phòng thuốc 03_2026'!$J:$J, "Yếu")</f>
        <v>1</v>
      </c>
      <c r="W7" s="3">
        <f>SUM(S7:V7)</f>
        <v>57</v>
      </c>
    </row>
    <row r="8" spans="1:29" ht="15" x14ac:dyDescent="0.25">
      <c r="A8" s="7">
        <f t="shared" si="1"/>
        <v>7</v>
      </c>
      <c r="B8" s="21">
        <v>3</v>
      </c>
      <c r="C8" s="21" t="s">
        <v>375</v>
      </c>
      <c r="D8" s="24" t="s">
        <v>147</v>
      </c>
      <c r="E8" s="24">
        <v>7788</v>
      </c>
      <c r="F8" s="24" t="s">
        <v>148</v>
      </c>
      <c r="G8" s="25" t="s">
        <v>147</v>
      </c>
      <c r="H8" s="24" t="s">
        <v>19</v>
      </c>
      <c r="I8" s="7">
        <v>8.5</v>
      </c>
      <c r="J8" s="7" t="str">
        <f t="shared" si="0"/>
        <v>Giỏi</v>
      </c>
      <c r="M8" s="7" t="s">
        <v>253</v>
      </c>
      <c r="N8" s="7">
        <f>U10</f>
        <v>24</v>
      </c>
      <c r="O8" s="8">
        <f>N8/W10</f>
        <v>0.13872832369942195</v>
      </c>
      <c r="R8" s="3" t="s">
        <v>44</v>
      </c>
      <c r="S8" s="3">
        <f>COUNTIFS('Phòng thuốc 03_2026'!H:H,"Tick", 'Phòng thuốc 03_2026'!J:J, "Giỏi")</f>
        <v>9</v>
      </c>
      <c r="T8" s="3">
        <f>COUNTIFS('Phòng thuốc 03_2026'!$H:$H,"Tick", 'Phòng thuốc 03_2026'!$J:$J, "Khá")</f>
        <v>18</v>
      </c>
      <c r="U8" s="3">
        <f>COUNTIFS('Phòng thuốc 03_2026'!$H:$H,"Tick", 'Phòng thuốc 03_2026'!$J:$J, "Trung bình")</f>
        <v>10</v>
      </c>
      <c r="V8" s="3">
        <f>COUNTIFS('Phòng thuốc 03_2026'!$H:$H,"Tick", 'Phòng thuốc 03_2026'!$J:$J, "Yếu")</f>
        <v>0</v>
      </c>
      <c r="W8" s="3">
        <f>SUM(S8:V8)</f>
        <v>37</v>
      </c>
    </row>
    <row r="9" spans="1:29" ht="15" x14ac:dyDescent="0.25">
      <c r="A9" s="7">
        <f t="shared" si="1"/>
        <v>8</v>
      </c>
      <c r="B9" s="21">
        <v>3</v>
      </c>
      <c r="C9" s="21" t="s">
        <v>375</v>
      </c>
      <c r="D9" s="24" t="s">
        <v>303</v>
      </c>
      <c r="E9" s="24">
        <v>68073</v>
      </c>
      <c r="F9" s="24" t="s">
        <v>323</v>
      </c>
      <c r="G9" s="25" t="s">
        <v>147</v>
      </c>
      <c r="H9" s="24" t="s">
        <v>19</v>
      </c>
      <c r="I9" s="7">
        <v>8</v>
      </c>
      <c r="J9" s="7" t="str">
        <f t="shared" si="0"/>
        <v>Giỏi</v>
      </c>
      <c r="M9" s="7" t="s">
        <v>254</v>
      </c>
      <c r="N9" s="7">
        <f>V10</f>
        <v>1</v>
      </c>
      <c r="O9" s="8">
        <f>V10/W10</f>
        <v>5.7803468208092483E-3</v>
      </c>
      <c r="R9" s="3" t="s">
        <v>10</v>
      </c>
      <c r="S9" s="3">
        <f>COUNTIFS('Phòng thuốc 03_2026'!H:H,"CMYD", 'Phòng thuốc 03_2026'!J:J, "Giỏi")</f>
        <v>6</v>
      </c>
      <c r="T9" s="3">
        <f>COUNTIFS('Phòng thuốc 03_2026'!$H:$H,"CMYD", 'Phòng thuốc 03_2026'!$J:$J, "Khá")</f>
        <v>9</v>
      </c>
      <c r="U9" s="3">
        <f>COUNTIFS('Phòng thuốc 03_2026'!$H:$H,"CMYD", 'Phòng thuốc 03_2026'!$J:$J, "Trung bình")</f>
        <v>1</v>
      </c>
      <c r="V9" s="3">
        <f>COUNTIFS('Phòng thuốc 03_2026'!$H:$H,"CMYD", 'Phòng thuốc 03_2026'!$J:$J, "Yếu")</f>
        <v>0</v>
      </c>
      <c r="W9" s="3">
        <f>SUM(S9:V9)</f>
        <v>16</v>
      </c>
    </row>
    <row r="10" spans="1:29" ht="15" x14ac:dyDescent="0.25">
      <c r="A10" s="7">
        <f t="shared" si="1"/>
        <v>9</v>
      </c>
      <c r="B10" s="21">
        <v>3</v>
      </c>
      <c r="C10" s="21" t="s">
        <v>375</v>
      </c>
      <c r="D10" s="24" t="s">
        <v>123</v>
      </c>
      <c r="E10" s="24">
        <v>54438</v>
      </c>
      <c r="F10" s="24" t="s">
        <v>124</v>
      </c>
      <c r="G10" s="25" t="s">
        <v>147</v>
      </c>
      <c r="H10" s="24" t="s">
        <v>19</v>
      </c>
      <c r="I10" s="7">
        <v>7.5</v>
      </c>
      <c r="J10" s="7" t="str">
        <f t="shared" si="0"/>
        <v>Khá</v>
      </c>
      <c r="M10" s="11" t="s">
        <v>255</v>
      </c>
      <c r="N10" s="7">
        <f>W10</f>
        <v>173</v>
      </c>
      <c r="O10" s="12">
        <f>SUM(O6:O9)</f>
        <v>1</v>
      </c>
      <c r="R10" s="3" t="s">
        <v>249</v>
      </c>
      <c r="S10" s="3">
        <f>SUM(S6:S9)</f>
        <v>73</v>
      </c>
      <c r="T10" s="3">
        <f>SUM(T6:T9)</f>
        <v>75</v>
      </c>
      <c r="U10" s="3">
        <f>SUM(U6:U9)</f>
        <v>24</v>
      </c>
      <c r="V10" s="3">
        <f>SUM(V6:V9)</f>
        <v>1</v>
      </c>
      <c r="W10" s="3">
        <f>SUM(S10:V10)</f>
        <v>173</v>
      </c>
    </row>
    <row r="11" spans="1:29" ht="15" x14ac:dyDescent="0.25">
      <c r="A11" s="7">
        <f t="shared" si="1"/>
        <v>10</v>
      </c>
      <c r="B11" s="21">
        <v>3</v>
      </c>
      <c r="C11" s="21" t="s">
        <v>375</v>
      </c>
      <c r="D11" s="24" t="s">
        <v>273</v>
      </c>
      <c r="E11" s="24" t="s">
        <v>284</v>
      </c>
      <c r="F11" s="24" t="s">
        <v>274</v>
      </c>
      <c r="G11" s="25" t="s">
        <v>115</v>
      </c>
      <c r="H11" s="24" t="s">
        <v>44</v>
      </c>
      <c r="I11" s="7">
        <v>7</v>
      </c>
      <c r="J11" s="7" t="str">
        <f t="shared" si="0"/>
        <v>Khá</v>
      </c>
    </row>
    <row r="12" spans="1:29" ht="15" x14ac:dyDescent="0.25">
      <c r="A12" s="7">
        <f t="shared" si="1"/>
        <v>11</v>
      </c>
      <c r="B12" s="21">
        <v>3</v>
      </c>
      <c r="C12" s="21" t="s">
        <v>375</v>
      </c>
      <c r="D12" s="24" t="s">
        <v>168</v>
      </c>
      <c r="E12" s="24">
        <v>50158</v>
      </c>
      <c r="F12" s="24" t="s">
        <v>324</v>
      </c>
      <c r="G12" s="25" t="s">
        <v>171</v>
      </c>
      <c r="H12" s="24" t="s">
        <v>3</v>
      </c>
      <c r="I12" s="7">
        <v>6</v>
      </c>
      <c r="J12" s="7" t="str">
        <f t="shared" si="0"/>
        <v>Trung bình</v>
      </c>
    </row>
    <row r="13" spans="1:29" ht="15" x14ac:dyDescent="0.25">
      <c r="A13" s="7">
        <f t="shared" si="1"/>
        <v>12</v>
      </c>
      <c r="B13" s="21">
        <v>3</v>
      </c>
      <c r="C13" s="21" t="s">
        <v>375</v>
      </c>
      <c r="D13" s="24" t="s">
        <v>85</v>
      </c>
      <c r="E13" s="24">
        <v>59074</v>
      </c>
      <c r="F13" s="24" t="s">
        <v>86</v>
      </c>
      <c r="G13" s="25" t="s">
        <v>81</v>
      </c>
      <c r="H13" s="24" t="s">
        <v>19</v>
      </c>
      <c r="I13" s="7">
        <v>6</v>
      </c>
      <c r="J13" s="7" t="str">
        <f t="shared" si="0"/>
        <v>Trung bình</v>
      </c>
      <c r="R13" s="1" t="s">
        <v>2</v>
      </c>
      <c r="S13" s="2" t="s">
        <v>247</v>
      </c>
      <c r="T13" s="2" t="s">
        <v>248</v>
      </c>
      <c r="U13" s="1" t="s">
        <v>253</v>
      </c>
      <c r="V13" s="1" t="s">
        <v>254</v>
      </c>
      <c r="W13" s="9"/>
      <c r="Z13" s="18"/>
    </row>
    <row r="14" spans="1:29" ht="15" x14ac:dyDescent="0.25">
      <c r="A14" s="7">
        <f t="shared" si="1"/>
        <v>13</v>
      </c>
      <c r="B14" s="21">
        <v>3</v>
      </c>
      <c r="C14" s="21" t="s">
        <v>375</v>
      </c>
      <c r="D14" s="24" t="s">
        <v>45</v>
      </c>
      <c r="E14" s="24">
        <v>47831</v>
      </c>
      <c r="F14" s="24" t="s">
        <v>271</v>
      </c>
      <c r="G14" s="25" t="s">
        <v>137</v>
      </c>
      <c r="H14" s="24" t="s">
        <v>3</v>
      </c>
      <c r="I14" s="7">
        <v>6</v>
      </c>
      <c r="J14" s="7" t="str">
        <f t="shared" si="0"/>
        <v>Trung bình</v>
      </c>
      <c r="R14" s="3" t="s">
        <v>3</v>
      </c>
      <c r="S14" s="4">
        <f>S6/W6</f>
        <v>0.3968253968253968</v>
      </c>
      <c r="T14" s="4">
        <f>T6/W6</f>
        <v>0.44444444444444442</v>
      </c>
      <c r="U14" s="4">
        <f>U6/W6</f>
        <v>0.15873015873015872</v>
      </c>
      <c r="V14" s="4">
        <f>V6/W6</f>
        <v>0</v>
      </c>
      <c r="W14" s="10"/>
      <c r="Z14" s="18"/>
      <c r="AA14" s="18"/>
      <c r="AB14" s="18"/>
      <c r="AC14" s="18"/>
    </row>
    <row r="15" spans="1:29" ht="15.75" x14ac:dyDescent="0.25">
      <c r="A15" s="7">
        <f t="shared" si="1"/>
        <v>14</v>
      </c>
      <c r="B15" s="21">
        <v>3</v>
      </c>
      <c r="C15" s="21" t="s">
        <v>375</v>
      </c>
      <c r="D15" s="14" t="s">
        <v>74</v>
      </c>
      <c r="E15" s="24">
        <v>63392</v>
      </c>
      <c r="F15" s="24" t="s">
        <v>325</v>
      </c>
      <c r="G15" s="25" t="s">
        <v>115</v>
      </c>
      <c r="H15" s="24" t="s">
        <v>44</v>
      </c>
      <c r="I15" s="7">
        <v>5.5</v>
      </c>
      <c r="J15" s="7" t="str">
        <f t="shared" si="0"/>
        <v>Trung bình</v>
      </c>
      <c r="R15" s="3" t="s">
        <v>19</v>
      </c>
      <c r="S15" s="4">
        <f>S7/W7</f>
        <v>0.57894736842105265</v>
      </c>
      <c r="T15" s="4">
        <f>T7/W7</f>
        <v>0.35087719298245612</v>
      </c>
      <c r="U15" s="4">
        <f>U7/W7</f>
        <v>5.2631578947368418E-2</v>
      </c>
      <c r="V15" s="4">
        <f>V7/W7</f>
        <v>1.7543859649122806E-2</v>
      </c>
      <c r="W15" s="10"/>
      <c r="Z15" s="20"/>
      <c r="AA15" s="20"/>
      <c r="AB15" s="18"/>
      <c r="AC15" s="18"/>
    </row>
    <row r="16" spans="1:29" ht="15" x14ac:dyDescent="0.25">
      <c r="A16" s="7">
        <f t="shared" si="1"/>
        <v>15</v>
      </c>
      <c r="B16" s="21">
        <v>3</v>
      </c>
      <c r="C16" s="21" t="s">
        <v>375</v>
      </c>
      <c r="D16" s="24" t="s">
        <v>25</v>
      </c>
      <c r="E16" s="24">
        <v>59650</v>
      </c>
      <c r="F16" s="24" t="s">
        <v>26</v>
      </c>
      <c r="G16" s="25" t="s">
        <v>115</v>
      </c>
      <c r="H16" s="24" t="s">
        <v>44</v>
      </c>
      <c r="I16" s="7">
        <v>8</v>
      </c>
      <c r="J16" s="7" t="str">
        <f t="shared" si="0"/>
        <v>Giỏi</v>
      </c>
      <c r="R16" s="3" t="s">
        <v>44</v>
      </c>
      <c r="S16" s="4">
        <f>S8/W8</f>
        <v>0.24324324324324326</v>
      </c>
      <c r="T16" s="4">
        <f>T8/W8</f>
        <v>0.48648648648648651</v>
      </c>
      <c r="U16" s="4">
        <f>U8/W8</f>
        <v>0.27027027027027029</v>
      </c>
      <c r="V16" s="4">
        <f>V8/W8</f>
        <v>0</v>
      </c>
      <c r="W16" s="10"/>
      <c r="Z16" s="20"/>
      <c r="AA16" s="20"/>
      <c r="AB16" s="18"/>
      <c r="AC16" s="18"/>
    </row>
    <row r="17" spans="1:29" ht="15" x14ac:dyDescent="0.25">
      <c r="A17" s="7">
        <f t="shared" si="1"/>
        <v>16</v>
      </c>
      <c r="B17" s="21">
        <v>3</v>
      </c>
      <c r="C17" s="21" t="s">
        <v>375</v>
      </c>
      <c r="D17" s="24" t="s">
        <v>101</v>
      </c>
      <c r="E17" s="24">
        <v>48677</v>
      </c>
      <c r="F17" s="24" t="s">
        <v>102</v>
      </c>
      <c r="G17" s="25" t="s">
        <v>175</v>
      </c>
      <c r="H17" s="24" t="s">
        <v>3</v>
      </c>
      <c r="I17" s="7">
        <v>7.5</v>
      </c>
      <c r="J17" s="7" t="str">
        <f t="shared" si="0"/>
        <v>Khá</v>
      </c>
      <c r="R17" s="3" t="s">
        <v>10</v>
      </c>
      <c r="S17" s="4">
        <f>S9/W9</f>
        <v>0.375</v>
      </c>
      <c r="T17" s="4">
        <f>T9/W9</f>
        <v>0.5625</v>
      </c>
      <c r="U17" s="4">
        <f>U9/W9</f>
        <v>6.25E-2</v>
      </c>
      <c r="V17" s="4">
        <f>V9/W9</f>
        <v>0</v>
      </c>
      <c r="W17" s="10"/>
      <c r="Z17" s="20"/>
      <c r="AA17" s="20"/>
      <c r="AB17" s="18"/>
      <c r="AC17" s="18"/>
    </row>
    <row r="18" spans="1:29" ht="15" x14ac:dyDescent="0.25">
      <c r="A18" s="7">
        <f t="shared" si="1"/>
        <v>17</v>
      </c>
      <c r="B18" s="21">
        <v>3</v>
      </c>
      <c r="C18" s="21" t="s">
        <v>375</v>
      </c>
      <c r="D18" s="24" t="s">
        <v>66</v>
      </c>
      <c r="E18" s="24">
        <v>50156</v>
      </c>
      <c r="F18" s="24" t="s">
        <v>223</v>
      </c>
      <c r="G18" s="25" t="s">
        <v>115</v>
      </c>
      <c r="H18" s="24" t="s">
        <v>44</v>
      </c>
      <c r="I18" s="7">
        <v>8</v>
      </c>
      <c r="J18" s="7" t="str">
        <f t="shared" si="0"/>
        <v>Giỏi</v>
      </c>
      <c r="R18" s="5"/>
      <c r="S18" s="5"/>
      <c r="T18" s="5"/>
      <c r="U18" s="5"/>
      <c r="V18" s="5"/>
      <c r="W18" s="10"/>
      <c r="Z18" s="18"/>
      <c r="AA18" s="18"/>
      <c r="AB18" s="18"/>
      <c r="AC18" s="18"/>
    </row>
    <row r="19" spans="1:29" ht="15" x14ac:dyDescent="0.25">
      <c r="A19" s="7">
        <f t="shared" si="1"/>
        <v>18</v>
      </c>
      <c r="B19" s="21">
        <v>3</v>
      </c>
      <c r="C19" s="21" t="s">
        <v>375</v>
      </c>
      <c r="D19" s="24" t="s">
        <v>171</v>
      </c>
      <c r="E19" s="24">
        <v>45696</v>
      </c>
      <c r="F19" s="24" t="s">
        <v>172</v>
      </c>
      <c r="G19" s="25" t="s">
        <v>171</v>
      </c>
      <c r="H19" s="24" t="s">
        <v>3</v>
      </c>
      <c r="I19" s="7">
        <v>8.5</v>
      </c>
      <c r="J19" s="7" t="str">
        <f t="shared" si="0"/>
        <v>Giỏi</v>
      </c>
      <c r="Z19" s="18"/>
      <c r="AA19" s="18"/>
      <c r="AB19" s="18"/>
      <c r="AC19" s="18"/>
    </row>
    <row r="20" spans="1:29" ht="15" x14ac:dyDescent="0.25">
      <c r="A20" s="7">
        <f t="shared" si="1"/>
        <v>19</v>
      </c>
      <c r="B20" s="21">
        <v>3</v>
      </c>
      <c r="C20" s="21" t="s">
        <v>375</v>
      </c>
      <c r="D20" s="24" t="s">
        <v>289</v>
      </c>
      <c r="E20" s="24">
        <v>66569</v>
      </c>
      <c r="F20" s="24" t="s">
        <v>326</v>
      </c>
      <c r="G20" s="25" t="s">
        <v>137</v>
      </c>
      <c r="H20" s="24" t="s">
        <v>3</v>
      </c>
      <c r="I20" s="7">
        <v>5.5</v>
      </c>
      <c r="J20" s="7" t="str">
        <f t="shared" si="0"/>
        <v>Trung bình</v>
      </c>
      <c r="Z20" s="18"/>
      <c r="AA20" s="18"/>
      <c r="AB20" s="18"/>
      <c r="AC20" s="18"/>
    </row>
    <row r="21" spans="1:29" ht="15" x14ac:dyDescent="0.25">
      <c r="A21" s="7">
        <f t="shared" si="1"/>
        <v>20</v>
      </c>
      <c r="B21" s="21">
        <v>3</v>
      </c>
      <c r="C21" s="21" t="s">
        <v>375</v>
      </c>
      <c r="D21" s="24" t="s">
        <v>20</v>
      </c>
      <c r="E21" s="24">
        <v>7801</v>
      </c>
      <c r="F21" s="24" t="s">
        <v>327</v>
      </c>
      <c r="G21" s="25" t="s">
        <v>35</v>
      </c>
      <c r="H21" s="24" t="s">
        <v>10</v>
      </c>
      <c r="I21" s="7">
        <v>7</v>
      </c>
      <c r="J21" s="7" t="str">
        <f t="shared" si="0"/>
        <v>Khá</v>
      </c>
      <c r="AC21" s="18"/>
    </row>
    <row r="22" spans="1:29" ht="15.75" x14ac:dyDescent="0.25">
      <c r="A22" s="7">
        <f t="shared" si="1"/>
        <v>21</v>
      </c>
      <c r="B22" s="21">
        <v>3</v>
      </c>
      <c r="C22" s="21" t="s">
        <v>375</v>
      </c>
      <c r="D22" s="15" t="s">
        <v>281</v>
      </c>
      <c r="E22" s="24">
        <v>66662</v>
      </c>
      <c r="F22" s="24" t="s">
        <v>282</v>
      </c>
      <c r="G22" s="25" t="s">
        <v>81</v>
      </c>
      <c r="H22" s="24" t="s">
        <v>19</v>
      </c>
      <c r="I22" s="7">
        <v>6.5</v>
      </c>
      <c r="J22" s="7" t="str">
        <f t="shared" si="0"/>
        <v>Khá</v>
      </c>
      <c r="R22" s="18"/>
      <c r="S22" s="18"/>
      <c r="T22" s="18"/>
    </row>
    <row r="23" spans="1:29" ht="15" x14ac:dyDescent="0.25">
      <c r="A23" s="7">
        <f t="shared" si="1"/>
        <v>22</v>
      </c>
      <c r="B23" s="21">
        <v>3</v>
      </c>
      <c r="C23" s="21" t="s">
        <v>375</v>
      </c>
      <c r="D23" s="24" t="s">
        <v>70</v>
      </c>
      <c r="E23" s="24">
        <v>63106</v>
      </c>
      <c r="F23" s="24" t="s">
        <v>228</v>
      </c>
      <c r="G23" s="25" t="s">
        <v>71</v>
      </c>
      <c r="H23" s="24" t="s">
        <v>44</v>
      </c>
      <c r="I23" s="7">
        <v>6</v>
      </c>
      <c r="J23" s="7" t="str">
        <f t="shared" si="0"/>
        <v>Trung bình</v>
      </c>
      <c r="R23" s="18"/>
      <c r="S23" s="18"/>
      <c r="T23" s="18"/>
    </row>
    <row r="24" spans="1:29" ht="15" x14ac:dyDescent="0.25">
      <c r="A24" s="7">
        <f t="shared" si="1"/>
        <v>23</v>
      </c>
      <c r="B24" s="21">
        <v>3</v>
      </c>
      <c r="C24" s="21" t="s">
        <v>375</v>
      </c>
      <c r="D24" s="24" t="s">
        <v>113</v>
      </c>
      <c r="E24" s="24">
        <v>45174</v>
      </c>
      <c r="F24" s="24" t="s">
        <v>114</v>
      </c>
      <c r="G24" s="25" t="s">
        <v>113</v>
      </c>
      <c r="H24" s="24" t="s">
        <v>19</v>
      </c>
      <c r="I24" s="7">
        <v>8</v>
      </c>
      <c r="J24" s="7" t="str">
        <f t="shared" si="0"/>
        <v>Giỏi</v>
      </c>
    </row>
    <row r="25" spans="1:29" ht="15" x14ac:dyDescent="0.25">
      <c r="A25" s="7">
        <f t="shared" si="1"/>
        <v>24</v>
      </c>
      <c r="B25" s="21">
        <v>3</v>
      </c>
      <c r="C25" s="21" t="s">
        <v>375</v>
      </c>
      <c r="D25" s="24" t="s">
        <v>156</v>
      </c>
      <c r="E25" s="24">
        <v>6165</v>
      </c>
      <c r="F25" s="24" t="s">
        <v>157</v>
      </c>
      <c r="G25" s="25" t="s">
        <v>147</v>
      </c>
      <c r="H25" s="24" t="s">
        <v>19</v>
      </c>
      <c r="I25" s="7">
        <v>8</v>
      </c>
      <c r="J25" s="7" t="str">
        <f t="shared" si="0"/>
        <v>Giỏi</v>
      </c>
      <c r="O25">
        <f>173*9</f>
        <v>1557</v>
      </c>
    </row>
    <row r="26" spans="1:29" ht="15" x14ac:dyDescent="0.25">
      <c r="A26" s="7">
        <f t="shared" si="1"/>
        <v>25</v>
      </c>
      <c r="B26" s="21">
        <v>3</v>
      </c>
      <c r="C26" s="21" t="s">
        <v>375</v>
      </c>
      <c r="D26" s="24" t="s">
        <v>97</v>
      </c>
      <c r="E26" s="24">
        <v>54516</v>
      </c>
      <c r="F26" s="24" t="s">
        <v>98</v>
      </c>
      <c r="G26" s="25" t="s">
        <v>136</v>
      </c>
      <c r="H26" s="24" t="s">
        <v>19</v>
      </c>
      <c r="I26" s="7">
        <v>7</v>
      </c>
      <c r="J26" s="7" t="str">
        <f t="shared" si="0"/>
        <v>Khá</v>
      </c>
    </row>
    <row r="27" spans="1:29" ht="15" x14ac:dyDescent="0.25">
      <c r="A27" s="7">
        <f t="shared" si="1"/>
        <v>26</v>
      </c>
      <c r="B27" s="21">
        <v>3</v>
      </c>
      <c r="C27" s="21" t="s">
        <v>375</v>
      </c>
      <c r="D27" s="24" t="s">
        <v>38</v>
      </c>
      <c r="E27" s="24">
        <v>54947</v>
      </c>
      <c r="F27" s="24" t="s">
        <v>39</v>
      </c>
      <c r="G27" s="25" t="s">
        <v>61</v>
      </c>
      <c r="H27" s="24" t="s">
        <v>10</v>
      </c>
      <c r="I27" s="7">
        <v>7</v>
      </c>
      <c r="J27" s="7" t="str">
        <f t="shared" si="0"/>
        <v>Khá</v>
      </c>
    </row>
    <row r="28" spans="1:29" ht="15" x14ac:dyDescent="0.25">
      <c r="A28" s="7">
        <f t="shared" si="1"/>
        <v>27</v>
      </c>
      <c r="B28" s="21">
        <v>3</v>
      </c>
      <c r="C28" s="21" t="s">
        <v>375</v>
      </c>
      <c r="D28" s="24" t="s">
        <v>235</v>
      </c>
      <c r="E28" s="24">
        <v>50926</v>
      </c>
      <c r="F28" s="24" t="s">
        <v>328</v>
      </c>
      <c r="G28" s="25" t="s">
        <v>35</v>
      </c>
      <c r="H28" s="24" t="s">
        <v>10</v>
      </c>
      <c r="I28" s="7">
        <v>7</v>
      </c>
      <c r="J28" s="7" t="str">
        <f t="shared" si="0"/>
        <v>Khá</v>
      </c>
    </row>
    <row r="29" spans="1:29" ht="15" x14ac:dyDescent="0.25">
      <c r="A29" s="7">
        <f t="shared" si="1"/>
        <v>28</v>
      </c>
      <c r="B29" s="21">
        <v>3</v>
      </c>
      <c r="C29" s="21" t="s">
        <v>375</v>
      </c>
      <c r="D29" s="24" t="s">
        <v>150</v>
      </c>
      <c r="E29" s="24">
        <v>42376</v>
      </c>
      <c r="F29" s="24" t="s">
        <v>182</v>
      </c>
      <c r="G29" s="25" t="s">
        <v>150</v>
      </c>
      <c r="H29" s="24" t="s">
        <v>19</v>
      </c>
      <c r="I29" s="7">
        <v>9</v>
      </c>
      <c r="J29" s="7" t="str">
        <f t="shared" si="0"/>
        <v>Giỏi</v>
      </c>
    </row>
    <row r="30" spans="1:29" ht="15" x14ac:dyDescent="0.25">
      <c r="A30" s="7">
        <f t="shared" si="1"/>
        <v>29</v>
      </c>
      <c r="B30" s="21">
        <v>3</v>
      </c>
      <c r="C30" s="21" t="s">
        <v>375</v>
      </c>
      <c r="D30" s="24" t="s">
        <v>92</v>
      </c>
      <c r="E30" s="24">
        <v>54517</v>
      </c>
      <c r="F30" s="24" t="s">
        <v>293</v>
      </c>
      <c r="G30" s="25" t="s">
        <v>136</v>
      </c>
      <c r="H30" s="24" t="s">
        <v>19</v>
      </c>
      <c r="I30" s="7">
        <v>7</v>
      </c>
      <c r="J30" s="7" t="str">
        <f t="shared" si="0"/>
        <v>Khá</v>
      </c>
    </row>
    <row r="31" spans="1:29" ht="15" x14ac:dyDescent="0.25">
      <c r="A31" s="7">
        <f t="shared" si="1"/>
        <v>30</v>
      </c>
      <c r="B31" s="21">
        <v>3</v>
      </c>
      <c r="C31" s="21" t="s">
        <v>375</v>
      </c>
      <c r="D31" s="24" t="s">
        <v>210</v>
      </c>
      <c r="E31" s="24">
        <v>63103</v>
      </c>
      <c r="F31" s="24" t="s">
        <v>211</v>
      </c>
      <c r="G31" s="25" t="s">
        <v>61</v>
      </c>
      <c r="H31" s="24" t="s">
        <v>10</v>
      </c>
      <c r="I31" s="7">
        <v>7</v>
      </c>
      <c r="J31" s="7" t="str">
        <f t="shared" si="0"/>
        <v>Khá</v>
      </c>
    </row>
    <row r="32" spans="1:29" ht="15" x14ac:dyDescent="0.25">
      <c r="A32" s="7">
        <f t="shared" si="1"/>
        <v>31</v>
      </c>
      <c r="B32" s="21">
        <v>3</v>
      </c>
      <c r="C32" s="21" t="s">
        <v>375</v>
      </c>
      <c r="D32" s="24" t="s">
        <v>41</v>
      </c>
      <c r="E32" s="24">
        <v>57710</v>
      </c>
      <c r="F32" s="24" t="s">
        <v>42</v>
      </c>
      <c r="G32" s="25" t="s">
        <v>171</v>
      </c>
      <c r="H32" s="24" t="s">
        <v>3</v>
      </c>
      <c r="I32" s="7">
        <v>5</v>
      </c>
      <c r="J32" s="7" t="str">
        <f t="shared" si="0"/>
        <v>Trung bình</v>
      </c>
    </row>
    <row r="33" spans="1:10" ht="15" x14ac:dyDescent="0.25">
      <c r="A33" s="7">
        <f t="shared" si="1"/>
        <v>32</v>
      </c>
      <c r="B33" s="21">
        <v>3</v>
      </c>
      <c r="C33" s="21" t="s">
        <v>375</v>
      </c>
      <c r="D33" s="24" t="s">
        <v>109</v>
      </c>
      <c r="E33" s="24">
        <v>56559</v>
      </c>
      <c r="F33" s="24" t="s">
        <v>215</v>
      </c>
      <c r="G33" s="25" t="s">
        <v>113</v>
      </c>
      <c r="H33" s="24" t="s">
        <v>19</v>
      </c>
      <c r="I33" s="7">
        <v>8</v>
      </c>
      <c r="J33" s="7" t="str">
        <f t="shared" si="0"/>
        <v>Giỏi</v>
      </c>
    </row>
    <row r="34" spans="1:10" ht="15" x14ac:dyDescent="0.25">
      <c r="A34" s="7">
        <f t="shared" si="1"/>
        <v>33</v>
      </c>
      <c r="B34" s="21">
        <v>3</v>
      </c>
      <c r="C34" s="21" t="s">
        <v>375</v>
      </c>
      <c r="D34" s="24" t="s">
        <v>36</v>
      </c>
      <c r="E34" s="24">
        <v>55240</v>
      </c>
      <c r="F34" s="24" t="s">
        <v>37</v>
      </c>
      <c r="G34" s="25" t="s">
        <v>137</v>
      </c>
      <c r="H34" s="24" t="s">
        <v>3</v>
      </c>
      <c r="I34" s="7">
        <v>8.5</v>
      </c>
      <c r="J34" s="7" t="str">
        <f t="shared" ref="J34:J65" si="2">IF(I34&gt;=8,"Giỏi",IF(I34&gt;=6.5,"Khá",IF(I34&gt;=4.5,"Trung bình","Yếu")))</f>
        <v>Giỏi</v>
      </c>
    </row>
    <row r="35" spans="1:10" ht="15" x14ac:dyDescent="0.25">
      <c r="A35" s="7">
        <f t="shared" si="1"/>
        <v>34</v>
      </c>
      <c r="B35" s="21">
        <v>3</v>
      </c>
      <c r="C35" s="21" t="s">
        <v>375</v>
      </c>
      <c r="D35" s="24" t="s">
        <v>83</v>
      </c>
      <c r="E35" s="24">
        <v>58972</v>
      </c>
      <c r="F35" s="24" t="s">
        <v>84</v>
      </c>
      <c r="G35" s="25" t="s">
        <v>61</v>
      </c>
      <c r="H35" s="24" t="s">
        <v>10</v>
      </c>
      <c r="I35" s="7">
        <v>7</v>
      </c>
      <c r="J35" s="7" t="str">
        <f t="shared" si="2"/>
        <v>Khá</v>
      </c>
    </row>
    <row r="36" spans="1:10" ht="15" x14ac:dyDescent="0.25">
      <c r="A36" s="7">
        <f t="shared" si="1"/>
        <v>35</v>
      </c>
      <c r="B36" s="21">
        <v>3</v>
      </c>
      <c r="C36" s="21" t="s">
        <v>375</v>
      </c>
      <c r="D36" s="24" t="s">
        <v>213</v>
      </c>
      <c r="E36" s="24">
        <v>47749</v>
      </c>
      <c r="F36" s="26" t="s">
        <v>218</v>
      </c>
      <c r="G36" s="25" t="s">
        <v>213</v>
      </c>
      <c r="H36" s="24" t="s">
        <v>19</v>
      </c>
      <c r="I36" s="7">
        <v>7.5</v>
      </c>
      <c r="J36" s="7" t="str">
        <f t="shared" si="2"/>
        <v>Khá</v>
      </c>
    </row>
    <row r="37" spans="1:10" ht="15" x14ac:dyDescent="0.25">
      <c r="A37" s="7">
        <f t="shared" si="1"/>
        <v>36</v>
      </c>
      <c r="B37" s="21">
        <v>3</v>
      </c>
      <c r="C37" s="21" t="s">
        <v>375</v>
      </c>
      <c r="D37" s="24" t="s">
        <v>110</v>
      </c>
      <c r="E37" s="24">
        <v>41176</v>
      </c>
      <c r="F37" s="24" t="s">
        <v>256</v>
      </c>
      <c r="G37" s="25" t="s">
        <v>110</v>
      </c>
      <c r="H37" s="24" t="s">
        <v>19</v>
      </c>
      <c r="I37" s="7">
        <v>8</v>
      </c>
      <c r="J37" s="7" t="str">
        <f t="shared" si="2"/>
        <v>Giỏi</v>
      </c>
    </row>
    <row r="38" spans="1:10" ht="15" x14ac:dyDescent="0.25">
      <c r="A38" s="7">
        <f t="shared" si="1"/>
        <v>37</v>
      </c>
      <c r="B38" s="21">
        <v>3</v>
      </c>
      <c r="C38" s="21" t="s">
        <v>375</v>
      </c>
      <c r="D38" s="24" t="s">
        <v>78</v>
      </c>
      <c r="E38" s="24">
        <v>59372</v>
      </c>
      <c r="F38" s="24" t="s">
        <v>79</v>
      </c>
      <c r="G38" s="25" t="s">
        <v>213</v>
      </c>
      <c r="H38" s="24" t="s">
        <v>19</v>
      </c>
      <c r="I38" s="7">
        <v>8.5</v>
      </c>
      <c r="J38" s="7" t="str">
        <f t="shared" si="2"/>
        <v>Giỏi</v>
      </c>
    </row>
    <row r="39" spans="1:10" ht="15" x14ac:dyDescent="0.25">
      <c r="A39" s="7">
        <f t="shared" si="1"/>
        <v>38</v>
      </c>
      <c r="B39" s="21">
        <v>3</v>
      </c>
      <c r="C39" s="21" t="s">
        <v>375</v>
      </c>
      <c r="D39" s="24" t="s">
        <v>179</v>
      </c>
      <c r="E39" s="24">
        <v>61333</v>
      </c>
      <c r="F39" s="24" t="s">
        <v>329</v>
      </c>
      <c r="G39" s="25" t="s">
        <v>171</v>
      </c>
      <c r="H39" s="24" t="s">
        <v>3</v>
      </c>
      <c r="I39" s="7">
        <v>6.5</v>
      </c>
      <c r="J39" s="7" t="str">
        <f t="shared" si="2"/>
        <v>Khá</v>
      </c>
    </row>
    <row r="40" spans="1:10" ht="15" x14ac:dyDescent="0.25">
      <c r="A40" s="7">
        <f t="shared" si="1"/>
        <v>39</v>
      </c>
      <c r="B40" s="21">
        <v>3</v>
      </c>
      <c r="C40" s="21" t="s">
        <v>375</v>
      </c>
      <c r="D40" s="24" t="s">
        <v>330</v>
      </c>
      <c r="E40" s="24">
        <v>49473</v>
      </c>
      <c r="F40" s="24" t="s">
        <v>331</v>
      </c>
      <c r="G40" s="25" t="s">
        <v>150</v>
      </c>
      <c r="H40" s="24" t="s">
        <v>19</v>
      </c>
      <c r="I40" s="7">
        <v>7</v>
      </c>
      <c r="J40" s="7" t="str">
        <f t="shared" si="2"/>
        <v>Khá</v>
      </c>
    </row>
    <row r="41" spans="1:10" ht="15" x14ac:dyDescent="0.25">
      <c r="A41" s="7">
        <f t="shared" si="1"/>
        <v>40</v>
      </c>
      <c r="B41" s="21">
        <v>3</v>
      </c>
      <c r="C41" s="21" t="s">
        <v>375</v>
      </c>
      <c r="D41" s="24" t="s">
        <v>164</v>
      </c>
      <c r="E41" s="24">
        <v>52153</v>
      </c>
      <c r="F41" s="24" t="s">
        <v>165</v>
      </c>
      <c r="G41" s="25" t="s">
        <v>171</v>
      </c>
      <c r="H41" s="24" t="s">
        <v>3</v>
      </c>
      <c r="I41" s="7">
        <v>8</v>
      </c>
      <c r="J41" s="7" t="str">
        <f t="shared" si="2"/>
        <v>Giỏi</v>
      </c>
    </row>
    <row r="42" spans="1:10" ht="15.75" x14ac:dyDescent="0.25">
      <c r="A42" s="7">
        <f t="shared" si="1"/>
        <v>41</v>
      </c>
      <c r="B42" s="21">
        <v>3</v>
      </c>
      <c r="C42" s="21" t="s">
        <v>375</v>
      </c>
      <c r="D42" s="14" t="s">
        <v>278</v>
      </c>
      <c r="E42" s="24">
        <v>66456</v>
      </c>
      <c r="F42" s="24" t="s">
        <v>279</v>
      </c>
      <c r="G42" s="25" t="s">
        <v>113</v>
      </c>
      <c r="H42" s="24" t="s">
        <v>19</v>
      </c>
      <c r="I42" s="7">
        <v>8</v>
      </c>
      <c r="J42" s="7" t="str">
        <f t="shared" si="2"/>
        <v>Giỏi</v>
      </c>
    </row>
    <row r="43" spans="1:10" ht="15" x14ac:dyDescent="0.25">
      <c r="A43" s="7">
        <f t="shared" si="1"/>
        <v>42</v>
      </c>
      <c r="B43" s="21">
        <v>3</v>
      </c>
      <c r="C43" s="21" t="s">
        <v>375</v>
      </c>
      <c r="D43" s="24" t="s">
        <v>197</v>
      </c>
      <c r="E43" s="24">
        <v>47187</v>
      </c>
      <c r="F43" s="24" t="s">
        <v>230</v>
      </c>
      <c r="G43" s="25" t="s">
        <v>113</v>
      </c>
      <c r="H43" s="24" t="s">
        <v>19</v>
      </c>
      <c r="I43" s="7">
        <v>8</v>
      </c>
      <c r="J43" s="7" t="str">
        <f t="shared" si="2"/>
        <v>Giỏi</v>
      </c>
    </row>
    <row r="44" spans="1:10" ht="15" x14ac:dyDescent="0.25">
      <c r="A44" s="7">
        <f t="shared" si="1"/>
        <v>43</v>
      </c>
      <c r="B44" s="21">
        <v>3</v>
      </c>
      <c r="C44" s="21" t="s">
        <v>375</v>
      </c>
      <c r="D44" s="24" t="s">
        <v>23</v>
      </c>
      <c r="E44" s="24">
        <v>54699</v>
      </c>
      <c r="F44" s="24" t="s">
        <v>204</v>
      </c>
      <c r="G44" s="25" t="s">
        <v>71</v>
      </c>
      <c r="H44" s="24" t="s">
        <v>10</v>
      </c>
      <c r="I44" s="7">
        <v>6</v>
      </c>
      <c r="J44" s="7" t="str">
        <f t="shared" si="2"/>
        <v>Trung bình</v>
      </c>
    </row>
    <row r="45" spans="1:10" ht="15" x14ac:dyDescent="0.25">
      <c r="A45" s="7">
        <f t="shared" si="1"/>
        <v>44</v>
      </c>
      <c r="B45" s="21">
        <v>3</v>
      </c>
      <c r="C45" s="21" t="s">
        <v>375</v>
      </c>
      <c r="D45" s="24" t="s">
        <v>67</v>
      </c>
      <c r="E45" s="24">
        <v>67031</v>
      </c>
      <c r="F45" s="24" t="s">
        <v>332</v>
      </c>
      <c r="G45" s="25" t="s">
        <v>81</v>
      </c>
      <c r="H45" s="24" t="s">
        <v>19</v>
      </c>
      <c r="I45" s="7">
        <v>8</v>
      </c>
      <c r="J45" s="7" t="str">
        <f t="shared" si="2"/>
        <v>Giỏi</v>
      </c>
    </row>
    <row r="46" spans="1:10" ht="15" x14ac:dyDescent="0.25">
      <c r="A46" s="7">
        <f t="shared" si="1"/>
        <v>45</v>
      </c>
      <c r="B46" s="21">
        <v>3</v>
      </c>
      <c r="C46" s="21" t="s">
        <v>375</v>
      </c>
      <c r="D46" s="24" t="s">
        <v>317</v>
      </c>
      <c r="E46" s="24">
        <v>68342</v>
      </c>
      <c r="F46" s="24" t="s">
        <v>333</v>
      </c>
      <c r="G46" s="25" t="s">
        <v>137</v>
      </c>
      <c r="H46" s="24" t="s">
        <v>3</v>
      </c>
      <c r="I46" s="7">
        <v>6</v>
      </c>
      <c r="J46" s="7" t="str">
        <f t="shared" si="2"/>
        <v>Trung bình</v>
      </c>
    </row>
    <row r="47" spans="1:10" ht="15" x14ac:dyDescent="0.25">
      <c r="A47" s="7">
        <f t="shared" si="1"/>
        <v>46</v>
      </c>
      <c r="B47" s="21">
        <v>3</v>
      </c>
      <c r="C47" s="21" t="s">
        <v>375</v>
      </c>
      <c r="D47" s="24" t="s">
        <v>69</v>
      </c>
      <c r="E47" s="24">
        <v>49022</v>
      </c>
      <c r="F47" s="24" t="s">
        <v>299</v>
      </c>
      <c r="G47" s="25" t="s">
        <v>171</v>
      </c>
      <c r="H47" s="24" t="s">
        <v>3</v>
      </c>
      <c r="I47" s="7">
        <v>7.5</v>
      </c>
      <c r="J47" s="7" t="str">
        <f t="shared" si="2"/>
        <v>Khá</v>
      </c>
    </row>
    <row r="48" spans="1:10" ht="15" x14ac:dyDescent="0.25">
      <c r="A48" s="7">
        <f t="shared" si="1"/>
        <v>47</v>
      </c>
      <c r="B48" s="21">
        <v>3</v>
      </c>
      <c r="C48" s="21" t="s">
        <v>375</v>
      </c>
      <c r="D48" s="24" t="s">
        <v>50</v>
      </c>
      <c r="E48" s="24">
        <v>51838</v>
      </c>
      <c r="F48" s="24" t="s">
        <v>51</v>
      </c>
      <c r="G48" s="25" t="s">
        <v>52</v>
      </c>
      <c r="H48" s="24" t="s">
        <v>44</v>
      </c>
      <c r="I48" s="7">
        <v>8.5</v>
      </c>
      <c r="J48" s="7" t="str">
        <f t="shared" si="2"/>
        <v>Giỏi</v>
      </c>
    </row>
    <row r="49" spans="1:10" ht="15" x14ac:dyDescent="0.25">
      <c r="A49" s="7">
        <f t="shared" si="1"/>
        <v>48</v>
      </c>
      <c r="B49" s="21">
        <v>3</v>
      </c>
      <c r="C49" s="21" t="s">
        <v>375</v>
      </c>
      <c r="D49" s="24" t="s">
        <v>91</v>
      </c>
      <c r="E49" s="24">
        <v>46842</v>
      </c>
      <c r="F49" s="24" t="s">
        <v>296</v>
      </c>
      <c r="G49" s="25" t="s">
        <v>136</v>
      </c>
      <c r="H49" s="24" t="s">
        <v>19</v>
      </c>
      <c r="I49" s="7">
        <v>6.5</v>
      </c>
      <c r="J49" s="7" t="str">
        <f t="shared" si="2"/>
        <v>Khá</v>
      </c>
    </row>
    <row r="50" spans="1:10" ht="15" x14ac:dyDescent="0.25">
      <c r="A50" s="7">
        <f t="shared" si="1"/>
        <v>49</v>
      </c>
      <c r="B50" s="21">
        <v>3</v>
      </c>
      <c r="C50" s="21" t="s">
        <v>375</v>
      </c>
      <c r="D50" s="24" t="s">
        <v>18</v>
      </c>
      <c r="E50" s="24">
        <v>47507</v>
      </c>
      <c r="F50" s="24" t="s">
        <v>180</v>
      </c>
      <c r="G50" s="25" t="s">
        <v>18</v>
      </c>
      <c r="H50" s="24" t="s">
        <v>19</v>
      </c>
      <c r="I50" s="7">
        <v>8.5</v>
      </c>
      <c r="J50" s="7" t="str">
        <f t="shared" si="2"/>
        <v>Giỏi</v>
      </c>
    </row>
    <row r="51" spans="1:10" ht="15" x14ac:dyDescent="0.25">
      <c r="A51" s="7">
        <f t="shared" si="1"/>
        <v>50</v>
      </c>
      <c r="B51" s="21">
        <v>3</v>
      </c>
      <c r="C51" s="21" t="s">
        <v>375</v>
      </c>
      <c r="D51" s="24" t="s">
        <v>160</v>
      </c>
      <c r="E51" s="24">
        <v>60015</v>
      </c>
      <c r="F51" s="24" t="s">
        <v>161</v>
      </c>
      <c r="G51" s="25" t="s">
        <v>150</v>
      </c>
      <c r="H51" s="24" t="s">
        <v>19</v>
      </c>
      <c r="I51" s="7">
        <v>7.5</v>
      </c>
      <c r="J51" s="7" t="str">
        <f t="shared" si="2"/>
        <v>Khá</v>
      </c>
    </row>
    <row r="52" spans="1:10" ht="15" x14ac:dyDescent="0.25">
      <c r="A52" s="7">
        <f t="shared" si="1"/>
        <v>51</v>
      </c>
      <c r="B52" s="21">
        <v>3</v>
      </c>
      <c r="C52" s="21" t="s">
        <v>375</v>
      </c>
      <c r="D52" s="24" t="s">
        <v>219</v>
      </c>
      <c r="E52" s="24">
        <v>63924</v>
      </c>
      <c r="F52" s="24" t="s">
        <v>242</v>
      </c>
      <c r="G52" s="25" t="s">
        <v>35</v>
      </c>
      <c r="H52" s="24" t="s">
        <v>10</v>
      </c>
      <c r="I52" s="7">
        <v>8</v>
      </c>
      <c r="J52" s="7" t="str">
        <f t="shared" si="2"/>
        <v>Giỏi</v>
      </c>
    </row>
    <row r="53" spans="1:10" ht="15" x14ac:dyDescent="0.25">
      <c r="A53" s="7">
        <f t="shared" si="1"/>
        <v>52</v>
      </c>
      <c r="B53" s="21">
        <v>3</v>
      </c>
      <c r="C53" s="21" t="s">
        <v>375</v>
      </c>
      <c r="D53" s="24" t="s">
        <v>136</v>
      </c>
      <c r="E53" s="24">
        <v>42661</v>
      </c>
      <c r="F53" s="24" t="s">
        <v>214</v>
      </c>
      <c r="G53" s="25" t="s">
        <v>136</v>
      </c>
      <c r="H53" s="24" t="s">
        <v>19</v>
      </c>
      <c r="I53" s="7">
        <v>8</v>
      </c>
      <c r="J53" s="7" t="str">
        <f t="shared" si="2"/>
        <v>Giỏi</v>
      </c>
    </row>
    <row r="54" spans="1:10" ht="15" x14ac:dyDescent="0.25">
      <c r="A54" s="7">
        <f t="shared" si="1"/>
        <v>53</v>
      </c>
      <c r="B54" s="21">
        <v>3</v>
      </c>
      <c r="C54" s="21" t="s">
        <v>375</v>
      </c>
      <c r="D54" s="24" t="s">
        <v>139</v>
      </c>
      <c r="E54" s="24">
        <v>53358</v>
      </c>
      <c r="F54" s="24" t="s">
        <v>140</v>
      </c>
      <c r="G54" s="25" t="s">
        <v>18</v>
      </c>
      <c r="H54" s="24" t="s">
        <v>19</v>
      </c>
      <c r="I54" s="7">
        <v>5.5</v>
      </c>
      <c r="J54" s="7" t="str">
        <f t="shared" si="2"/>
        <v>Trung bình</v>
      </c>
    </row>
    <row r="55" spans="1:10" ht="15" x14ac:dyDescent="0.25">
      <c r="A55" s="7">
        <f t="shared" si="1"/>
        <v>54</v>
      </c>
      <c r="B55" s="21">
        <v>3</v>
      </c>
      <c r="C55" s="21" t="s">
        <v>375</v>
      </c>
      <c r="D55" s="24" t="s">
        <v>334</v>
      </c>
      <c r="E55" s="24">
        <v>53049</v>
      </c>
      <c r="F55" s="24" t="s">
        <v>32</v>
      </c>
      <c r="G55" s="25" t="s">
        <v>35</v>
      </c>
      <c r="H55" s="24" t="s">
        <v>10</v>
      </c>
      <c r="I55" s="7">
        <v>8.5</v>
      </c>
      <c r="J55" s="7" t="str">
        <f t="shared" si="2"/>
        <v>Giỏi</v>
      </c>
    </row>
    <row r="56" spans="1:10" ht="15" x14ac:dyDescent="0.25">
      <c r="A56" s="7">
        <f t="shared" si="1"/>
        <v>55</v>
      </c>
      <c r="B56" s="21">
        <v>3</v>
      </c>
      <c r="C56" s="21" t="s">
        <v>375</v>
      </c>
      <c r="D56" s="24" t="s">
        <v>61</v>
      </c>
      <c r="E56" s="24">
        <v>48386</v>
      </c>
      <c r="F56" s="24" t="s">
        <v>290</v>
      </c>
      <c r="G56" s="25" t="s">
        <v>61</v>
      </c>
      <c r="H56" s="24" t="s">
        <v>10</v>
      </c>
      <c r="I56" s="7">
        <v>8</v>
      </c>
      <c r="J56" s="7" t="str">
        <f t="shared" si="2"/>
        <v>Giỏi</v>
      </c>
    </row>
    <row r="57" spans="1:10" ht="15" x14ac:dyDescent="0.25">
      <c r="A57" s="7">
        <f t="shared" si="1"/>
        <v>56</v>
      </c>
      <c r="B57" s="21">
        <v>3</v>
      </c>
      <c r="C57" s="21" t="s">
        <v>375</v>
      </c>
      <c r="D57" s="24" t="s">
        <v>190</v>
      </c>
      <c r="E57" s="24">
        <v>59887</v>
      </c>
      <c r="F57" s="24" t="s">
        <v>335</v>
      </c>
      <c r="G57" s="25" t="s">
        <v>35</v>
      </c>
      <c r="H57" s="24" t="s">
        <v>10</v>
      </c>
      <c r="I57" s="7">
        <v>7.5</v>
      </c>
      <c r="J57" s="7" t="str">
        <f t="shared" si="2"/>
        <v>Khá</v>
      </c>
    </row>
    <row r="58" spans="1:10" ht="15" x14ac:dyDescent="0.25">
      <c r="A58" s="7">
        <f t="shared" si="1"/>
        <v>57</v>
      </c>
      <c r="B58" s="21">
        <v>3</v>
      </c>
      <c r="C58" s="21" t="s">
        <v>375</v>
      </c>
      <c r="D58" s="24" t="s">
        <v>59</v>
      </c>
      <c r="E58" s="24">
        <v>48589</v>
      </c>
      <c r="F58" s="24" t="s">
        <v>239</v>
      </c>
      <c r="G58" s="25" t="s">
        <v>18</v>
      </c>
      <c r="H58" s="24" t="s">
        <v>19</v>
      </c>
      <c r="I58" s="7">
        <v>7</v>
      </c>
      <c r="J58" s="7" t="str">
        <f t="shared" si="2"/>
        <v>Khá</v>
      </c>
    </row>
    <row r="59" spans="1:10" ht="15" x14ac:dyDescent="0.25">
      <c r="A59" s="7">
        <f t="shared" si="1"/>
        <v>58</v>
      </c>
      <c r="B59" s="21">
        <v>3</v>
      </c>
      <c r="C59" s="21" t="s">
        <v>375</v>
      </c>
      <c r="D59" s="24" t="s">
        <v>321</v>
      </c>
      <c r="E59" s="24">
        <v>68704</v>
      </c>
      <c r="F59" s="24" t="s">
        <v>336</v>
      </c>
      <c r="G59" s="25" t="s">
        <v>171</v>
      </c>
      <c r="H59" s="24" t="s">
        <v>3</v>
      </c>
      <c r="I59" s="7">
        <v>7</v>
      </c>
      <c r="J59" s="7" t="str">
        <f t="shared" si="2"/>
        <v>Khá</v>
      </c>
    </row>
    <row r="60" spans="1:10" ht="15" x14ac:dyDescent="0.25">
      <c r="A60" s="7">
        <f t="shared" si="1"/>
        <v>59</v>
      </c>
      <c r="B60" s="21">
        <v>3</v>
      </c>
      <c r="C60" s="21" t="s">
        <v>375</v>
      </c>
      <c r="D60" s="24" t="s">
        <v>87</v>
      </c>
      <c r="E60" s="24">
        <v>43809</v>
      </c>
      <c r="F60" s="24" t="s">
        <v>257</v>
      </c>
      <c r="G60" s="25" t="s">
        <v>136</v>
      </c>
      <c r="H60" s="24" t="s">
        <v>19</v>
      </c>
      <c r="I60" s="7">
        <v>8.5</v>
      </c>
      <c r="J60" s="7" t="str">
        <f t="shared" si="2"/>
        <v>Giỏi</v>
      </c>
    </row>
    <row r="61" spans="1:10" ht="15" x14ac:dyDescent="0.25">
      <c r="A61" s="7">
        <f t="shared" si="1"/>
        <v>60</v>
      </c>
      <c r="B61" s="21">
        <v>3</v>
      </c>
      <c r="C61" s="21" t="s">
        <v>375</v>
      </c>
      <c r="D61" s="24" t="s">
        <v>202</v>
      </c>
      <c r="E61" s="24">
        <v>61414</v>
      </c>
      <c r="F61" s="24" t="s">
        <v>203</v>
      </c>
      <c r="G61" s="25" t="s">
        <v>35</v>
      </c>
      <c r="H61" s="24" t="s">
        <v>10</v>
      </c>
      <c r="I61" s="7">
        <v>7</v>
      </c>
      <c r="J61" s="7" t="str">
        <f t="shared" si="2"/>
        <v>Khá</v>
      </c>
    </row>
    <row r="62" spans="1:10" ht="15" x14ac:dyDescent="0.25">
      <c r="A62" s="7">
        <f t="shared" si="1"/>
        <v>61</v>
      </c>
      <c r="B62" s="21">
        <v>3</v>
      </c>
      <c r="C62" s="21" t="s">
        <v>375</v>
      </c>
      <c r="D62" s="24" t="s">
        <v>166</v>
      </c>
      <c r="E62" s="24">
        <v>54948</v>
      </c>
      <c r="F62" s="24" t="s">
        <v>167</v>
      </c>
      <c r="G62" s="25" t="s">
        <v>137</v>
      </c>
      <c r="H62" s="24" t="s">
        <v>3</v>
      </c>
      <c r="I62" s="7">
        <v>7.5</v>
      </c>
      <c r="J62" s="7" t="str">
        <f t="shared" si="2"/>
        <v>Khá</v>
      </c>
    </row>
    <row r="63" spans="1:10" ht="15" x14ac:dyDescent="0.25">
      <c r="A63" s="7">
        <f t="shared" si="1"/>
        <v>62</v>
      </c>
      <c r="B63" s="21">
        <v>3</v>
      </c>
      <c r="C63" s="21" t="s">
        <v>375</v>
      </c>
      <c r="D63" s="24" t="s">
        <v>265</v>
      </c>
      <c r="E63" s="24">
        <v>55820</v>
      </c>
      <c r="F63" s="24" t="s">
        <v>285</v>
      </c>
      <c r="G63" s="25" t="s">
        <v>43</v>
      </c>
      <c r="H63" s="24" t="s">
        <v>44</v>
      </c>
      <c r="I63" s="7">
        <v>4.5</v>
      </c>
      <c r="J63" s="7" t="str">
        <f t="shared" si="2"/>
        <v>Trung bình</v>
      </c>
    </row>
    <row r="64" spans="1:10" ht="15.75" x14ac:dyDescent="0.25">
      <c r="A64" s="7">
        <f t="shared" si="1"/>
        <v>63</v>
      </c>
      <c r="B64" s="21">
        <v>3</v>
      </c>
      <c r="C64" s="21" t="s">
        <v>375</v>
      </c>
      <c r="D64" s="14" t="s">
        <v>217</v>
      </c>
      <c r="E64" s="24">
        <v>48591</v>
      </c>
      <c r="F64" s="24" t="s">
        <v>227</v>
      </c>
      <c r="G64" s="25" t="s">
        <v>18</v>
      </c>
      <c r="H64" s="24" t="s">
        <v>19</v>
      </c>
      <c r="I64" s="7">
        <v>8</v>
      </c>
      <c r="J64" s="7" t="str">
        <f t="shared" si="2"/>
        <v>Giỏi</v>
      </c>
    </row>
    <row r="65" spans="1:10" ht="15" x14ac:dyDescent="0.25">
      <c r="A65" s="7">
        <f t="shared" si="1"/>
        <v>64</v>
      </c>
      <c r="B65" s="21">
        <v>3</v>
      </c>
      <c r="C65" s="21" t="s">
        <v>375</v>
      </c>
      <c r="D65" s="24" t="s">
        <v>76</v>
      </c>
      <c r="E65" s="24">
        <v>51203</v>
      </c>
      <c r="F65" s="24" t="s">
        <v>337</v>
      </c>
      <c r="G65" s="25" t="s">
        <v>150</v>
      </c>
      <c r="H65" s="24" t="s">
        <v>19</v>
      </c>
      <c r="I65" s="7">
        <v>7.5</v>
      </c>
      <c r="J65" s="7" t="str">
        <f t="shared" si="2"/>
        <v>Khá</v>
      </c>
    </row>
    <row r="66" spans="1:10" ht="15" x14ac:dyDescent="0.25">
      <c r="A66" s="7">
        <f t="shared" si="1"/>
        <v>65</v>
      </c>
      <c r="B66" s="21">
        <v>3</v>
      </c>
      <c r="C66" s="21" t="s">
        <v>375</v>
      </c>
      <c r="D66" s="24" t="s">
        <v>186</v>
      </c>
      <c r="E66" s="24">
        <v>45944</v>
      </c>
      <c r="F66" s="24" t="s">
        <v>338</v>
      </c>
      <c r="G66" s="25" t="s">
        <v>198</v>
      </c>
      <c r="H66" s="24" t="s">
        <v>3</v>
      </c>
      <c r="I66" s="7">
        <v>7</v>
      </c>
      <c r="J66" s="7" t="str">
        <f t="shared" ref="J66" si="3">IF(I66&gt;=8,"Giỏi",IF(I66&gt;=6.5,"Khá",IF(I66&gt;=4.5,"Trung bình","Yếu")))</f>
        <v>Khá</v>
      </c>
    </row>
    <row r="67" spans="1:10" ht="15" x14ac:dyDescent="0.25">
      <c r="A67" s="7">
        <f t="shared" ref="A67:A130" si="4">ROW()-1</f>
        <v>66</v>
      </c>
      <c r="B67" s="21">
        <v>3</v>
      </c>
      <c r="C67" s="21" t="s">
        <v>375</v>
      </c>
      <c r="D67" s="24" t="s">
        <v>121</v>
      </c>
      <c r="E67" s="24">
        <v>45502</v>
      </c>
      <c r="F67" s="24" t="s">
        <v>122</v>
      </c>
      <c r="G67" s="25" t="s">
        <v>110</v>
      </c>
      <c r="H67" s="24" t="s">
        <v>19</v>
      </c>
      <c r="I67" s="7">
        <v>8</v>
      </c>
      <c r="J67" s="7" t="str">
        <f t="shared" ref="J67:J130" si="5">IF(I67&gt;=8,"Giỏi",IF(I67&gt;=6.5,"Khá",IF(I67&gt;=4.5,"Trung bình","Yếu")))</f>
        <v>Giỏi</v>
      </c>
    </row>
    <row r="68" spans="1:10" ht="15" x14ac:dyDescent="0.25">
      <c r="A68" s="7">
        <f t="shared" si="4"/>
        <v>67</v>
      </c>
      <c r="B68" s="21">
        <v>3</v>
      </c>
      <c r="C68" s="21" t="s">
        <v>375</v>
      </c>
      <c r="D68" s="24" t="s">
        <v>60</v>
      </c>
      <c r="E68" s="24">
        <v>47747</v>
      </c>
      <c r="F68" s="24" t="s">
        <v>181</v>
      </c>
      <c r="G68" s="25" t="s">
        <v>18</v>
      </c>
      <c r="H68" s="24" t="s">
        <v>19</v>
      </c>
      <c r="I68" s="7">
        <v>7</v>
      </c>
      <c r="J68" s="7" t="str">
        <f t="shared" si="5"/>
        <v>Khá</v>
      </c>
    </row>
    <row r="69" spans="1:10" ht="15" x14ac:dyDescent="0.25">
      <c r="A69" s="7">
        <f t="shared" si="4"/>
        <v>68</v>
      </c>
      <c r="B69" s="21">
        <v>3</v>
      </c>
      <c r="C69" s="21" t="s">
        <v>375</v>
      </c>
      <c r="D69" s="24" t="s">
        <v>173</v>
      </c>
      <c r="E69" s="24">
        <v>8055</v>
      </c>
      <c r="F69" s="24" t="s">
        <v>174</v>
      </c>
      <c r="G69" s="25" t="s">
        <v>173</v>
      </c>
      <c r="H69" s="24" t="s">
        <v>19</v>
      </c>
      <c r="I69" s="7">
        <v>9</v>
      </c>
      <c r="J69" s="7" t="str">
        <f t="shared" si="5"/>
        <v>Giỏi</v>
      </c>
    </row>
    <row r="70" spans="1:10" ht="15" x14ac:dyDescent="0.25">
      <c r="A70" s="7">
        <f t="shared" si="4"/>
        <v>69</v>
      </c>
      <c r="B70" s="21">
        <v>3</v>
      </c>
      <c r="C70" s="21" t="s">
        <v>375</v>
      </c>
      <c r="D70" s="24" t="s">
        <v>81</v>
      </c>
      <c r="E70" s="24">
        <v>52545</v>
      </c>
      <c r="F70" s="24" t="s">
        <v>82</v>
      </c>
      <c r="G70" s="25" t="s">
        <v>81</v>
      </c>
      <c r="H70" s="24" t="s">
        <v>19</v>
      </c>
      <c r="I70" s="7">
        <v>7.5</v>
      </c>
      <c r="J70" s="7" t="str">
        <f t="shared" si="5"/>
        <v>Khá</v>
      </c>
    </row>
    <row r="71" spans="1:10" ht="15.75" x14ac:dyDescent="0.25">
      <c r="A71" s="7">
        <f t="shared" si="4"/>
        <v>70</v>
      </c>
      <c r="B71" s="21">
        <v>3</v>
      </c>
      <c r="C71" s="21" t="s">
        <v>375</v>
      </c>
      <c r="D71" s="14" t="s">
        <v>304</v>
      </c>
      <c r="E71" s="24">
        <v>68558</v>
      </c>
      <c r="F71" s="24" t="s">
        <v>339</v>
      </c>
      <c r="G71" s="25" t="s">
        <v>81</v>
      </c>
      <c r="H71" s="24" t="s">
        <v>19</v>
      </c>
      <c r="I71" s="7">
        <v>6.5</v>
      </c>
      <c r="J71" s="7" t="str">
        <f t="shared" si="5"/>
        <v>Khá</v>
      </c>
    </row>
    <row r="72" spans="1:10" ht="15" x14ac:dyDescent="0.25">
      <c r="A72" s="7">
        <f t="shared" si="4"/>
        <v>71</v>
      </c>
      <c r="B72" s="21">
        <v>3</v>
      </c>
      <c r="C72" s="21" t="s">
        <v>375</v>
      </c>
      <c r="D72" s="24" t="s">
        <v>143</v>
      </c>
      <c r="E72" s="24">
        <v>55225</v>
      </c>
      <c r="F72" s="24" t="s">
        <v>144</v>
      </c>
      <c r="G72" s="25" t="s">
        <v>141</v>
      </c>
      <c r="H72" s="24" t="s">
        <v>44</v>
      </c>
      <c r="I72" s="7">
        <v>6.5</v>
      </c>
      <c r="J72" s="7" t="str">
        <f t="shared" si="5"/>
        <v>Khá</v>
      </c>
    </row>
    <row r="73" spans="1:10" ht="15.75" x14ac:dyDescent="0.25">
      <c r="A73" s="7">
        <f t="shared" si="4"/>
        <v>72</v>
      </c>
      <c r="B73" s="21">
        <v>3</v>
      </c>
      <c r="C73" s="21" t="s">
        <v>375</v>
      </c>
      <c r="D73" s="14" t="s">
        <v>145</v>
      </c>
      <c r="E73" s="24">
        <v>59235</v>
      </c>
      <c r="F73" s="24" t="s">
        <v>146</v>
      </c>
      <c r="G73" s="25" t="s">
        <v>141</v>
      </c>
      <c r="H73" s="24" t="s">
        <v>44</v>
      </c>
      <c r="I73" s="7">
        <v>6.5</v>
      </c>
      <c r="J73" s="7" t="str">
        <f t="shared" si="5"/>
        <v>Khá</v>
      </c>
    </row>
    <row r="74" spans="1:10" ht="15" x14ac:dyDescent="0.25">
      <c r="A74" s="7">
        <f t="shared" si="4"/>
        <v>73</v>
      </c>
      <c r="B74" s="21">
        <v>3</v>
      </c>
      <c r="C74" s="21" t="s">
        <v>375</v>
      </c>
      <c r="D74" s="24" t="s">
        <v>62</v>
      </c>
      <c r="E74" s="24">
        <v>45925</v>
      </c>
      <c r="F74" s="24" t="s">
        <v>63</v>
      </c>
      <c r="G74" s="25" t="s">
        <v>52</v>
      </c>
      <c r="H74" s="24" t="s">
        <v>44</v>
      </c>
      <c r="I74" s="7">
        <v>8.5</v>
      </c>
      <c r="J74" s="7" t="str">
        <f t="shared" si="5"/>
        <v>Giỏi</v>
      </c>
    </row>
    <row r="75" spans="1:10" ht="15" x14ac:dyDescent="0.25">
      <c r="A75" s="7">
        <f t="shared" si="4"/>
        <v>74</v>
      </c>
      <c r="B75" s="21">
        <v>3</v>
      </c>
      <c r="C75" s="21" t="s">
        <v>375</v>
      </c>
      <c r="D75" s="24" t="s">
        <v>35</v>
      </c>
      <c r="E75" s="24">
        <v>2173</v>
      </c>
      <c r="F75" s="24" t="s">
        <v>183</v>
      </c>
      <c r="G75" s="25" t="s">
        <v>35</v>
      </c>
      <c r="H75" s="24" t="s">
        <v>10</v>
      </c>
      <c r="I75" s="7">
        <v>7.5</v>
      </c>
      <c r="J75" s="7" t="str">
        <f t="shared" si="5"/>
        <v>Khá</v>
      </c>
    </row>
    <row r="76" spans="1:10" ht="15" x14ac:dyDescent="0.25">
      <c r="A76" s="7">
        <f t="shared" si="4"/>
        <v>75</v>
      </c>
      <c r="B76" s="21">
        <v>3</v>
      </c>
      <c r="C76" s="21" t="s">
        <v>375</v>
      </c>
      <c r="D76" s="24" t="s">
        <v>106</v>
      </c>
      <c r="E76" s="24">
        <v>47203</v>
      </c>
      <c r="F76" s="24" t="s">
        <v>107</v>
      </c>
      <c r="G76" s="25" t="s">
        <v>106</v>
      </c>
      <c r="H76" s="24" t="s">
        <v>19</v>
      </c>
      <c r="I76" s="7">
        <v>8</v>
      </c>
      <c r="J76" s="7" t="str">
        <f t="shared" si="5"/>
        <v>Giỏi</v>
      </c>
    </row>
    <row r="77" spans="1:10" ht="15" x14ac:dyDescent="0.25">
      <c r="A77" s="7">
        <f t="shared" si="4"/>
        <v>76</v>
      </c>
      <c r="B77" s="21">
        <v>3</v>
      </c>
      <c r="C77" s="21" t="s">
        <v>375</v>
      </c>
      <c r="D77" s="24" t="s">
        <v>120</v>
      </c>
      <c r="E77" s="24">
        <v>58713</v>
      </c>
      <c r="F77" s="24" t="s">
        <v>244</v>
      </c>
      <c r="G77" s="25" t="s">
        <v>110</v>
      </c>
      <c r="H77" s="24" t="s">
        <v>19</v>
      </c>
      <c r="I77" s="7">
        <v>8</v>
      </c>
      <c r="J77" s="7" t="str">
        <f t="shared" si="5"/>
        <v>Giỏi</v>
      </c>
    </row>
    <row r="78" spans="1:10" ht="15" x14ac:dyDescent="0.25">
      <c r="A78" s="7">
        <f t="shared" si="4"/>
        <v>77</v>
      </c>
      <c r="B78" s="21">
        <v>3</v>
      </c>
      <c r="C78" s="21" t="s">
        <v>375</v>
      </c>
      <c r="D78" s="24" t="s">
        <v>222</v>
      </c>
      <c r="E78" s="24">
        <v>61655</v>
      </c>
      <c r="F78" s="24" t="s">
        <v>187</v>
      </c>
      <c r="G78" s="25" t="s">
        <v>173</v>
      </c>
      <c r="H78" s="24" t="s">
        <v>19</v>
      </c>
      <c r="I78" s="7">
        <v>9.5</v>
      </c>
      <c r="J78" s="7" t="str">
        <f t="shared" si="5"/>
        <v>Giỏi</v>
      </c>
    </row>
    <row r="79" spans="1:10" ht="15" x14ac:dyDescent="0.25">
      <c r="A79" s="7">
        <f t="shared" si="4"/>
        <v>78</v>
      </c>
      <c r="B79" s="21">
        <v>3</v>
      </c>
      <c r="C79" s="21" t="s">
        <v>375</v>
      </c>
      <c r="D79" s="24" t="s">
        <v>55</v>
      </c>
      <c r="E79" s="24">
        <v>55227</v>
      </c>
      <c r="F79" s="24" t="s">
        <v>264</v>
      </c>
      <c r="G79" s="25" t="s">
        <v>52</v>
      </c>
      <c r="H79" s="24" t="s">
        <v>44</v>
      </c>
      <c r="I79" s="7">
        <v>8.5</v>
      </c>
      <c r="J79" s="7" t="str">
        <f t="shared" si="5"/>
        <v>Giỏi</v>
      </c>
    </row>
    <row r="80" spans="1:10" ht="15" x14ac:dyDescent="0.25">
      <c r="A80" s="7">
        <f t="shared" si="4"/>
        <v>79</v>
      </c>
      <c r="B80" s="21">
        <v>3</v>
      </c>
      <c r="C80" s="21" t="s">
        <v>375</v>
      </c>
      <c r="D80" s="24" t="s">
        <v>67</v>
      </c>
      <c r="E80" s="24">
        <v>58613</v>
      </c>
      <c r="F80" s="24" t="s">
        <v>68</v>
      </c>
      <c r="G80" s="25" t="s">
        <v>81</v>
      </c>
      <c r="H80" s="24" t="s">
        <v>19</v>
      </c>
      <c r="I80" s="7">
        <v>7.5</v>
      </c>
      <c r="J80" s="7" t="str">
        <f t="shared" si="5"/>
        <v>Khá</v>
      </c>
    </row>
    <row r="81" spans="1:10" ht="15" x14ac:dyDescent="0.25">
      <c r="A81" s="7">
        <f t="shared" si="4"/>
        <v>80</v>
      </c>
      <c r="B81" s="21">
        <v>3</v>
      </c>
      <c r="C81" s="21" t="s">
        <v>375</v>
      </c>
      <c r="D81" s="24" t="s">
        <v>7</v>
      </c>
      <c r="E81" s="24">
        <v>40673</v>
      </c>
      <c r="F81" s="24" t="s">
        <v>8</v>
      </c>
      <c r="G81" s="25" t="s">
        <v>7</v>
      </c>
      <c r="H81" s="24" t="s">
        <v>3</v>
      </c>
      <c r="I81" s="7">
        <v>7</v>
      </c>
      <c r="J81" s="7" t="str">
        <f t="shared" si="5"/>
        <v>Khá</v>
      </c>
    </row>
    <row r="82" spans="1:10" ht="15" x14ac:dyDescent="0.25">
      <c r="A82" s="7">
        <f t="shared" si="4"/>
        <v>81</v>
      </c>
      <c r="B82" s="21">
        <v>3</v>
      </c>
      <c r="C82" s="21" t="s">
        <v>375</v>
      </c>
      <c r="D82" s="24" t="s">
        <v>319</v>
      </c>
      <c r="E82" s="24">
        <v>68688</v>
      </c>
      <c r="F82" s="24" t="s">
        <v>340</v>
      </c>
      <c r="G82" s="25" t="s">
        <v>137</v>
      </c>
      <c r="H82" s="24" t="s">
        <v>3</v>
      </c>
      <c r="I82" s="7">
        <v>7.5</v>
      </c>
      <c r="J82" s="7" t="str">
        <f t="shared" si="5"/>
        <v>Khá</v>
      </c>
    </row>
    <row r="83" spans="1:10" ht="15" x14ac:dyDescent="0.25">
      <c r="A83" s="7">
        <f t="shared" si="4"/>
        <v>82</v>
      </c>
      <c r="B83" s="21">
        <v>3</v>
      </c>
      <c r="C83" s="21" t="s">
        <v>375</v>
      </c>
      <c r="D83" s="24" t="s">
        <v>138</v>
      </c>
      <c r="E83" s="24">
        <v>47830</v>
      </c>
      <c r="F83" s="24" t="s">
        <v>262</v>
      </c>
      <c r="G83" s="25" t="s">
        <v>115</v>
      </c>
      <c r="H83" s="24" t="s">
        <v>44</v>
      </c>
      <c r="I83" s="7">
        <v>8</v>
      </c>
      <c r="J83" s="7" t="str">
        <f t="shared" si="5"/>
        <v>Giỏi</v>
      </c>
    </row>
    <row r="84" spans="1:10" ht="15" x14ac:dyDescent="0.25">
      <c r="A84" s="7">
        <f t="shared" si="4"/>
        <v>83</v>
      </c>
      <c r="B84" s="21">
        <v>3</v>
      </c>
      <c r="C84" s="21" t="s">
        <v>375</v>
      </c>
      <c r="D84" s="24" t="s">
        <v>80</v>
      </c>
      <c r="E84" s="24">
        <v>62526</v>
      </c>
      <c r="F84" s="24" t="s">
        <v>298</v>
      </c>
      <c r="G84" s="25" t="s">
        <v>150</v>
      </c>
      <c r="H84" s="24" t="s">
        <v>19</v>
      </c>
      <c r="I84" s="7">
        <v>9</v>
      </c>
      <c r="J84" s="7" t="str">
        <f t="shared" si="5"/>
        <v>Giỏi</v>
      </c>
    </row>
    <row r="85" spans="1:10" ht="15.75" x14ac:dyDescent="0.25">
      <c r="A85" s="7">
        <f t="shared" si="4"/>
        <v>84</v>
      </c>
      <c r="B85" s="21">
        <v>3</v>
      </c>
      <c r="C85" s="21" t="s">
        <v>375</v>
      </c>
      <c r="D85" s="14" t="s">
        <v>30</v>
      </c>
      <c r="E85" s="24">
        <v>58724</v>
      </c>
      <c r="F85" s="24" t="s">
        <v>31</v>
      </c>
      <c r="G85" s="25" t="s">
        <v>7</v>
      </c>
      <c r="H85" s="24" t="s">
        <v>3</v>
      </c>
      <c r="I85" s="7">
        <v>7</v>
      </c>
      <c r="J85" s="7" t="str">
        <f t="shared" si="5"/>
        <v>Khá</v>
      </c>
    </row>
    <row r="86" spans="1:10" ht="15" x14ac:dyDescent="0.25">
      <c r="A86" s="7">
        <f t="shared" si="4"/>
        <v>85</v>
      </c>
      <c r="B86" s="21">
        <v>3</v>
      </c>
      <c r="C86" s="21" t="s">
        <v>375</v>
      </c>
      <c r="D86" s="24" t="s">
        <v>205</v>
      </c>
      <c r="E86" s="24">
        <v>61879</v>
      </c>
      <c r="F86" s="24" t="s">
        <v>206</v>
      </c>
      <c r="G86" s="25" t="s">
        <v>7</v>
      </c>
      <c r="H86" s="24" t="s">
        <v>3</v>
      </c>
      <c r="I86" s="7">
        <v>8</v>
      </c>
      <c r="J86" s="7" t="str">
        <f t="shared" si="5"/>
        <v>Giỏi</v>
      </c>
    </row>
    <row r="87" spans="1:10" ht="15" x14ac:dyDescent="0.25">
      <c r="A87" s="7">
        <f t="shared" si="4"/>
        <v>86</v>
      </c>
      <c r="B87" s="21">
        <v>3</v>
      </c>
      <c r="C87" s="21" t="s">
        <v>375</v>
      </c>
      <c r="D87" s="24" t="s">
        <v>307</v>
      </c>
      <c r="E87" s="24">
        <v>68433</v>
      </c>
      <c r="F87" s="24" t="s">
        <v>341</v>
      </c>
      <c r="G87" s="25" t="s">
        <v>7</v>
      </c>
      <c r="H87" s="24" t="s">
        <v>3</v>
      </c>
      <c r="I87" s="7">
        <v>7</v>
      </c>
      <c r="J87" s="7" t="str">
        <f t="shared" si="5"/>
        <v>Khá</v>
      </c>
    </row>
    <row r="88" spans="1:10" ht="15" x14ac:dyDescent="0.25">
      <c r="A88" s="7">
        <f t="shared" si="4"/>
        <v>87</v>
      </c>
      <c r="B88" s="21">
        <v>3</v>
      </c>
      <c r="C88" s="21" t="s">
        <v>375</v>
      </c>
      <c r="D88" s="24" t="s">
        <v>132</v>
      </c>
      <c r="E88" s="24">
        <v>46526</v>
      </c>
      <c r="F88" s="24" t="s">
        <v>191</v>
      </c>
      <c r="G88" s="25" t="s">
        <v>132</v>
      </c>
      <c r="H88" s="24" t="s">
        <v>3</v>
      </c>
      <c r="I88" s="7">
        <v>9.5</v>
      </c>
      <c r="J88" s="7" t="str">
        <f t="shared" si="5"/>
        <v>Giỏi</v>
      </c>
    </row>
    <row r="89" spans="1:10" ht="15" x14ac:dyDescent="0.25">
      <c r="A89" s="7">
        <f t="shared" si="4"/>
        <v>88</v>
      </c>
      <c r="B89" s="21">
        <v>3</v>
      </c>
      <c r="C89" s="21" t="s">
        <v>375</v>
      </c>
      <c r="D89" s="24" t="s">
        <v>29</v>
      </c>
      <c r="E89" s="24">
        <v>55022</v>
      </c>
      <c r="F89" s="24" t="s">
        <v>220</v>
      </c>
      <c r="G89" s="25" t="s">
        <v>7</v>
      </c>
      <c r="H89" s="24" t="s">
        <v>3</v>
      </c>
      <c r="I89" s="7">
        <v>7</v>
      </c>
      <c r="J89" s="7" t="str">
        <f t="shared" si="5"/>
        <v>Khá</v>
      </c>
    </row>
    <row r="90" spans="1:10" ht="15.75" x14ac:dyDescent="0.25">
      <c r="A90" s="7">
        <f t="shared" si="4"/>
        <v>89</v>
      </c>
      <c r="B90" s="21">
        <v>3</v>
      </c>
      <c r="C90" s="21" t="s">
        <v>375</v>
      </c>
      <c r="D90" s="14" t="s">
        <v>53</v>
      </c>
      <c r="E90" s="24">
        <v>56011</v>
      </c>
      <c r="F90" s="24" t="s">
        <v>54</v>
      </c>
      <c r="G90" s="25" t="s">
        <v>52</v>
      </c>
      <c r="H90" s="24" t="s">
        <v>44</v>
      </c>
      <c r="I90" s="7">
        <v>8.5</v>
      </c>
      <c r="J90" s="7" t="str">
        <f t="shared" si="5"/>
        <v>Giỏi</v>
      </c>
    </row>
    <row r="91" spans="1:10" ht="15" x14ac:dyDescent="0.25">
      <c r="A91" s="7">
        <f t="shared" si="4"/>
        <v>90</v>
      </c>
      <c r="B91" s="21">
        <v>3</v>
      </c>
      <c r="C91" s="21" t="s">
        <v>375</v>
      </c>
      <c r="D91" s="24" t="s">
        <v>306</v>
      </c>
      <c r="E91" s="24">
        <v>67102</v>
      </c>
      <c r="F91" s="24" t="s">
        <v>342</v>
      </c>
      <c r="G91" s="25" t="s">
        <v>7</v>
      </c>
      <c r="H91" s="24" t="s">
        <v>3</v>
      </c>
      <c r="I91" s="7">
        <v>7</v>
      </c>
      <c r="J91" s="7" t="str">
        <f t="shared" si="5"/>
        <v>Khá</v>
      </c>
    </row>
    <row r="92" spans="1:10" ht="15" x14ac:dyDescent="0.25">
      <c r="A92" s="7">
        <f t="shared" si="4"/>
        <v>91</v>
      </c>
      <c r="B92" s="21">
        <v>3</v>
      </c>
      <c r="C92" s="21" t="s">
        <v>375</v>
      </c>
      <c r="D92" s="24" t="s">
        <v>75</v>
      </c>
      <c r="E92" s="24">
        <v>62982</v>
      </c>
      <c r="F92" s="24" t="s">
        <v>224</v>
      </c>
      <c r="G92" s="25" t="s">
        <v>71</v>
      </c>
      <c r="H92" s="24" t="s">
        <v>44</v>
      </c>
      <c r="I92" s="7">
        <v>7.5</v>
      </c>
      <c r="J92" s="7" t="str">
        <f t="shared" si="5"/>
        <v>Khá</v>
      </c>
    </row>
    <row r="93" spans="1:10" ht="15.75" x14ac:dyDescent="0.25">
      <c r="A93" s="7">
        <f t="shared" si="4"/>
        <v>92</v>
      </c>
      <c r="B93" s="21">
        <v>3</v>
      </c>
      <c r="C93" s="21" t="s">
        <v>375</v>
      </c>
      <c r="D93" s="14" t="s">
        <v>103</v>
      </c>
      <c r="E93" s="24">
        <v>53081</v>
      </c>
      <c r="F93" s="24" t="s">
        <v>201</v>
      </c>
      <c r="G93" s="25" t="s">
        <v>106</v>
      </c>
      <c r="H93" s="24" t="s">
        <v>19</v>
      </c>
      <c r="I93" s="7">
        <v>7.5</v>
      </c>
      <c r="J93" s="7" t="str">
        <f t="shared" si="5"/>
        <v>Khá</v>
      </c>
    </row>
    <row r="94" spans="1:10" ht="15" x14ac:dyDescent="0.25">
      <c r="A94" s="7">
        <f t="shared" si="4"/>
        <v>93</v>
      </c>
      <c r="B94" s="21">
        <v>3</v>
      </c>
      <c r="C94" s="21" t="s">
        <v>375</v>
      </c>
      <c r="D94" s="24" t="s">
        <v>343</v>
      </c>
      <c r="E94" s="24">
        <v>56987</v>
      </c>
      <c r="F94" s="24" t="s">
        <v>184</v>
      </c>
      <c r="G94" s="25" t="s">
        <v>52</v>
      </c>
      <c r="H94" s="24" t="s">
        <v>44</v>
      </c>
      <c r="I94" s="7">
        <v>8.5</v>
      </c>
      <c r="J94" s="7" t="str">
        <f t="shared" si="5"/>
        <v>Giỏi</v>
      </c>
    </row>
    <row r="95" spans="1:10" ht="15.75" x14ac:dyDescent="0.25">
      <c r="A95" s="7">
        <f t="shared" si="4"/>
        <v>94</v>
      </c>
      <c r="B95" s="21">
        <v>3</v>
      </c>
      <c r="C95" s="21" t="s">
        <v>375</v>
      </c>
      <c r="D95" s="14" t="s">
        <v>108</v>
      </c>
      <c r="E95" s="24">
        <v>58711</v>
      </c>
      <c r="F95" s="24" t="s">
        <v>344</v>
      </c>
      <c r="G95" s="25" t="s">
        <v>106</v>
      </c>
      <c r="H95" s="24" t="s">
        <v>19</v>
      </c>
      <c r="I95" s="7">
        <v>8.5</v>
      </c>
      <c r="J95" s="7" t="str">
        <f t="shared" si="5"/>
        <v>Giỏi</v>
      </c>
    </row>
    <row r="96" spans="1:10" ht="15" x14ac:dyDescent="0.25">
      <c r="A96" s="7">
        <f t="shared" si="4"/>
        <v>95</v>
      </c>
      <c r="B96" s="21">
        <v>3</v>
      </c>
      <c r="C96" s="21" t="s">
        <v>375</v>
      </c>
      <c r="D96" s="24" t="s">
        <v>233</v>
      </c>
      <c r="E96" s="24">
        <v>64475</v>
      </c>
      <c r="F96" s="24" t="s">
        <v>234</v>
      </c>
      <c r="G96" s="25" t="s">
        <v>43</v>
      </c>
      <c r="H96" s="24" t="s">
        <v>44</v>
      </c>
      <c r="I96" s="7">
        <v>7</v>
      </c>
      <c r="J96" s="7" t="str">
        <f t="shared" si="5"/>
        <v>Khá</v>
      </c>
    </row>
    <row r="97" spans="1:10" ht="15" x14ac:dyDescent="0.25">
      <c r="A97" s="7">
        <f t="shared" si="4"/>
        <v>96</v>
      </c>
      <c r="B97" s="21">
        <v>3</v>
      </c>
      <c r="C97" s="21" t="s">
        <v>375</v>
      </c>
      <c r="D97" s="24" t="s">
        <v>43</v>
      </c>
      <c r="E97" s="24">
        <v>49765</v>
      </c>
      <c r="F97" s="24" t="s">
        <v>263</v>
      </c>
      <c r="G97" s="25" t="s">
        <v>43</v>
      </c>
      <c r="H97" s="24" t="s">
        <v>44</v>
      </c>
      <c r="I97" s="7">
        <v>7.5</v>
      </c>
      <c r="J97" s="7" t="str">
        <f t="shared" si="5"/>
        <v>Khá</v>
      </c>
    </row>
    <row r="98" spans="1:10" ht="15" x14ac:dyDescent="0.25">
      <c r="A98" s="7">
        <f t="shared" si="4"/>
        <v>97</v>
      </c>
      <c r="B98" s="21">
        <v>3</v>
      </c>
      <c r="C98" s="21" t="s">
        <v>375</v>
      </c>
      <c r="D98" s="24" t="s">
        <v>175</v>
      </c>
      <c r="E98" s="24">
        <v>44183</v>
      </c>
      <c r="F98" s="24" t="s">
        <v>176</v>
      </c>
      <c r="G98" s="25" t="s">
        <v>175</v>
      </c>
      <c r="H98" s="24" t="s">
        <v>3</v>
      </c>
      <c r="I98" s="7">
        <v>8.5</v>
      </c>
      <c r="J98" s="7" t="str">
        <f t="shared" si="5"/>
        <v>Giỏi</v>
      </c>
    </row>
    <row r="99" spans="1:10" ht="15" x14ac:dyDescent="0.25">
      <c r="A99" s="7">
        <f t="shared" si="4"/>
        <v>98</v>
      </c>
      <c r="B99" s="21">
        <v>3</v>
      </c>
      <c r="C99" s="21" t="s">
        <v>375</v>
      </c>
      <c r="D99" s="24" t="s">
        <v>48</v>
      </c>
      <c r="E99" s="24">
        <v>4036</v>
      </c>
      <c r="F99" s="24" t="s">
        <v>49</v>
      </c>
      <c r="G99" s="25" t="s">
        <v>35</v>
      </c>
      <c r="H99" s="24" t="s">
        <v>10</v>
      </c>
      <c r="I99" s="7">
        <v>8.5</v>
      </c>
      <c r="J99" s="7" t="str">
        <f t="shared" si="5"/>
        <v>Giỏi</v>
      </c>
    </row>
    <row r="100" spans="1:10" ht="15" x14ac:dyDescent="0.25">
      <c r="A100" s="7">
        <f t="shared" si="4"/>
        <v>99</v>
      </c>
      <c r="B100" s="21">
        <v>3</v>
      </c>
      <c r="C100" s="21" t="s">
        <v>375</v>
      </c>
      <c r="D100" s="24" t="s">
        <v>208</v>
      </c>
      <c r="E100" s="24">
        <v>64095</v>
      </c>
      <c r="F100" s="24" t="s">
        <v>209</v>
      </c>
      <c r="G100" s="25" t="s">
        <v>71</v>
      </c>
      <c r="H100" s="24" t="s">
        <v>44</v>
      </c>
      <c r="I100" s="7">
        <v>5</v>
      </c>
      <c r="J100" s="7" t="str">
        <f t="shared" si="5"/>
        <v>Trung bình</v>
      </c>
    </row>
    <row r="101" spans="1:10" ht="15" x14ac:dyDescent="0.25">
      <c r="A101" s="7">
        <f t="shared" si="4"/>
        <v>100</v>
      </c>
      <c r="B101" s="21">
        <v>3</v>
      </c>
      <c r="C101" s="21" t="s">
        <v>375</v>
      </c>
      <c r="D101" s="24" t="s">
        <v>133</v>
      </c>
      <c r="E101" s="24">
        <v>44901</v>
      </c>
      <c r="F101" s="24" t="s">
        <v>134</v>
      </c>
      <c r="G101" s="25" t="s">
        <v>110</v>
      </c>
      <c r="H101" s="24" t="s">
        <v>19</v>
      </c>
      <c r="I101" s="7">
        <v>9</v>
      </c>
      <c r="J101" s="7" t="str">
        <f t="shared" si="5"/>
        <v>Giỏi</v>
      </c>
    </row>
    <row r="102" spans="1:10" ht="15.75" x14ac:dyDescent="0.25">
      <c r="A102" s="7">
        <f t="shared" si="4"/>
        <v>101</v>
      </c>
      <c r="B102" s="21">
        <v>3</v>
      </c>
      <c r="C102" s="21" t="s">
        <v>375</v>
      </c>
      <c r="D102" s="14" t="s">
        <v>158</v>
      </c>
      <c r="E102" s="24">
        <v>61877</v>
      </c>
      <c r="F102" s="24" t="s">
        <v>260</v>
      </c>
      <c r="G102" s="25" t="s">
        <v>173</v>
      </c>
      <c r="H102" s="24" t="s">
        <v>19</v>
      </c>
      <c r="I102" s="7">
        <v>8.5</v>
      </c>
      <c r="J102" s="7" t="str">
        <f t="shared" si="5"/>
        <v>Giỏi</v>
      </c>
    </row>
    <row r="103" spans="1:10" ht="15" x14ac:dyDescent="0.25">
      <c r="A103" s="7">
        <f t="shared" si="4"/>
        <v>102</v>
      </c>
      <c r="B103" s="21">
        <v>3</v>
      </c>
      <c r="C103" s="21" t="s">
        <v>375</v>
      </c>
      <c r="D103" s="24" t="s">
        <v>231</v>
      </c>
      <c r="E103" s="24">
        <v>63998</v>
      </c>
      <c r="F103" s="24" t="s">
        <v>232</v>
      </c>
      <c r="G103" s="25" t="s">
        <v>61</v>
      </c>
      <c r="H103" s="24" t="s">
        <v>10</v>
      </c>
      <c r="I103" s="7">
        <v>7.5</v>
      </c>
      <c r="J103" s="7" t="str">
        <f t="shared" si="5"/>
        <v>Khá</v>
      </c>
    </row>
    <row r="104" spans="1:10" ht="15" x14ac:dyDescent="0.25">
      <c r="A104" s="7">
        <f t="shared" si="4"/>
        <v>103</v>
      </c>
      <c r="B104" s="21">
        <v>3</v>
      </c>
      <c r="C104" s="21" t="s">
        <v>375</v>
      </c>
      <c r="D104" s="24" t="s">
        <v>310</v>
      </c>
      <c r="E104" s="24">
        <v>67567</v>
      </c>
      <c r="F104" s="24" t="s">
        <v>345</v>
      </c>
      <c r="G104" s="25" t="s">
        <v>40</v>
      </c>
      <c r="H104" s="24" t="s">
        <v>3</v>
      </c>
      <c r="I104" s="7">
        <v>6.5</v>
      </c>
      <c r="J104" s="7" t="str">
        <f t="shared" si="5"/>
        <v>Khá</v>
      </c>
    </row>
    <row r="105" spans="1:10" ht="15" x14ac:dyDescent="0.25">
      <c r="A105" s="7">
        <f t="shared" si="4"/>
        <v>104</v>
      </c>
      <c r="B105" s="21">
        <v>3</v>
      </c>
      <c r="C105" s="21" t="s">
        <v>375</v>
      </c>
      <c r="D105" s="24" t="s">
        <v>318</v>
      </c>
      <c r="E105" s="24">
        <v>68341</v>
      </c>
      <c r="F105" s="24" t="s">
        <v>346</v>
      </c>
      <c r="G105" s="25" t="s">
        <v>137</v>
      </c>
      <c r="H105" s="24" t="s">
        <v>3</v>
      </c>
      <c r="I105" s="7">
        <v>6.5</v>
      </c>
      <c r="J105" s="7" t="str">
        <f t="shared" si="5"/>
        <v>Khá</v>
      </c>
    </row>
    <row r="106" spans="1:10" ht="15" x14ac:dyDescent="0.25">
      <c r="A106" s="7">
        <f t="shared" si="4"/>
        <v>105</v>
      </c>
      <c r="B106" s="21">
        <v>3</v>
      </c>
      <c r="C106" s="21" t="s">
        <v>375</v>
      </c>
      <c r="D106" s="24" t="s">
        <v>221</v>
      </c>
      <c r="E106" s="24">
        <v>63769</v>
      </c>
      <c r="F106" s="24" t="s">
        <v>347</v>
      </c>
      <c r="G106" s="25" t="s">
        <v>40</v>
      </c>
      <c r="H106" s="24" t="s">
        <v>3</v>
      </c>
      <c r="I106" s="7">
        <v>6.5</v>
      </c>
      <c r="J106" s="7" t="str">
        <f t="shared" si="5"/>
        <v>Khá</v>
      </c>
    </row>
    <row r="107" spans="1:10" ht="15.75" x14ac:dyDescent="0.25">
      <c r="A107" s="7">
        <f t="shared" si="4"/>
        <v>106</v>
      </c>
      <c r="B107" s="21">
        <v>3</v>
      </c>
      <c r="C107" s="21" t="s">
        <v>375</v>
      </c>
      <c r="D107" s="14" t="s">
        <v>27</v>
      </c>
      <c r="E107" s="24">
        <v>53990</v>
      </c>
      <c r="F107" s="24" t="s">
        <v>28</v>
      </c>
      <c r="G107" s="25" t="s">
        <v>40</v>
      </c>
      <c r="H107" s="24" t="s">
        <v>3</v>
      </c>
      <c r="I107" s="7">
        <v>5.5</v>
      </c>
      <c r="J107" s="7" t="str">
        <f t="shared" si="5"/>
        <v>Trung bình</v>
      </c>
    </row>
    <row r="108" spans="1:10" ht="15" x14ac:dyDescent="0.25">
      <c r="A108" s="7">
        <f t="shared" si="4"/>
        <v>107</v>
      </c>
      <c r="B108" s="21">
        <v>3</v>
      </c>
      <c r="C108" s="21" t="s">
        <v>375</v>
      </c>
      <c r="D108" s="24" t="s">
        <v>291</v>
      </c>
      <c r="E108" s="24">
        <v>52152</v>
      </c>
      <c r="F108" s="24" t="s">
        <v>17</v>
      </c>
      <c r="G108" s="25" t="s">
        <v>175</v>
      </c>
      <c r="H108" s="24" t="s">
        <v>3</v>
      </c>
      <c r="I108" s="7">
        <v>8.5</v>
      </c>
      <c r="J108" s="7" t="str">
        <f t="shared" si="5"/>
        <v>Giỏi</v>
      </c>
    </row>
    <row r="109" spans="1:10" ht="15.75" x14ac:dyDescent="0.25">
      <c r="A109" s="7">
        <f t="shared" si="4"/>
        <v>108</v>
      </c>
      <c r="B109" s="21">
        <v>3</v>
      </c>
      <c r="C109" s="21" t="s">
        <v>375</v>
      </c>
      <c r="D109" s="14" t="s">
        <v>268</v>
      </c>
      <c r="E109" s="24">
        <v>62831</v>
      </c>
      <c r="F109" s="24" t="s">
        <v>348</v>
      </c>
      <c r="G109" s="25" t="s">
        <v>7</v>
      </c>
      <c r="H109" s="24" t="s">
        <v>3</v>
      </c>
      <c r="I109" s="7">
        <v>7</v>
      </c>
      <c r="J109" s="7" t="str">
        <f t="shared" si="5"/>
        <v>Khá</v>
      </c>
    </row>
    <row r="110" spans="1:10" ht="15.75" x14ac:dyDescent="0.25">
      <c r="A110" s="7">
        <f t="shared" si="4"/>
        <v>109</v>
      </c>
      <c r="B110" s="21">
        <v>3</v>
      </c>
      <c r="C110" s="21" t="s">
        <v>375</v>
      </c>
      <c r="D110" s="14" t="s">
        <v>276</v>
      </c>
      <c r="E110" s="24">
        <v>66156</v>
      </c>
      <c r="F110" s="24" t="s">
        <v>277</v>
      </c>
      <c r="G110" s="25" t="s">
        <v>136</v>
      </c>
      <c r="H110" s="24" t="s">
        <v>19</v>
      </c>
      <c r="I110" s="7">
        <v>8</v>
      </c>
      <c r="J110" s="7" t="str">
        <f t="shared" si="5"/>
        <v>Giỏi</v>
      </c>
    </row>
    <row r="111" spans="1:10" ht="15" x14ac:dyDescent="0.25">
      <c r="A111" s="7">
        <f t="shared" si="4"/>
        <v>110</v>
      </c>
      <c r="B111" s="21">
        <v>3</v>
      </c>
      <c r="C111" s="21" t="s">
        <v>375</v>
      </c>
      <c r="D111" s="24" t="s">
        <v>151</v>
      </c>
      <c r="E111" s="24">
        <v>55699</v>
      </c>
      <c r="F111" s="24" t="s">
        <v>266</v>
      </c>
      <c r="G111" s="25" t="s">
        <v>141</v>
      </c>
      <c r="H111" s="24" t="s">
        <v>44</v>
      </c>
      <c r="I111" s="7">
        <v>6.5</v>
      </c>
      <c r="J111" s="7" t="str">
        <f t="shared" si="5"/>
        <v>Khá</v>
      </c>
    </row>
    <row r="112" spans="1:10" ht="15" x14ac:dyDescent="0.25">
      <c r="A112" s="7">
        <f t="shared" si="4"/>
        <v>111</v>
      </c>
      <c r="B112" s="21">
        <v>3</v>
      </c>
      <c r="C112" s="21" t="s">
        <v>375</v>
      </c>
      <c r="D112" s="24" t="s">
        <v>73</v>
      </c>
      <c r="E112" s="24">
        <v>53050</v>
      </c>
      <c r="F112" s="24" t="s">
        <v>349</v>
      </c>
      <c r="G112" s="25" t="s">
        <v>40</v>
      </c>
      <c r="H112" s="24" t="s">
        <v>3</v>
      </c>
      <c r="I112" s="7">
        <v>6.5</v>
      </c>
      <c r="J112" s="7" t="str">
        <f t="shared" si="5"/>
        <v>Khá</v>
      </c>
    </row>
    <row r="113" spans="1:10" ht="15" x14ac:dyDescent="0.25">
      <c r="A113" s="7">
        <f t="shared" si="4"/>
        <v>112</v>
      </c>
      <c r="B113" s="21">
        <v>3</v>
      </c>
      <c r="C113" s="21" t="s">
        <v>375</v>
      </c>
      <c r="D113" s="24" t="s">
        <v>130</v>
      </c>
      <c r="E113" s="24">
        <v>46532</v>
      </c>
      <c r="F113" s="24" t="s">
        <v>292</v>
      </c>
      <c r="G113" s="25" t="s">
        <v>147</v>
      </c>
      <c r="H113" s="24" t="s">
        <v>19</v>
      </c>
      <c r="I113" s="7">
        <v>8.5</v>
      </c>
      <c r="J113" s="7" t="str">
        <f t="shared" si="5"/>
        <v>Giỏi</v>
      </c>
    </row>
    <row r="114" spans="1:10" ht="15" x14ac:dyDescent="0.25">
      <c r="A114" s="7">
        <f t="shared" si="4"/>
        <v>113</v>
      </c>
      <c r="B114" s="21">
        <v>3</v>
      </c>
      <c r="C114" s="21" t="s">
        <v>375</v>
      </c>
      <c r="D114" s="24" t="s">
        <v>192</v>
      </c>
      <c r="E114" s="24">
        <v>59236</v>
      </c>
      <c r="F114" s="24" t="s">
        <v>350</v>
      </c>
      <c r="G114" s="25" t="s">
        <v>141</v>
      </c>
      <c r="H114" s="24" t="s">
        <v>44</v>
      </c>
      <c r="I114" s="7">
        <v>6.5</v>
      </c>
      <c r="J114" s="7" t="str">
        <f t="shared" si="5"/>
        <v>Khá</v>
      </c>
    </row>
    <row r="115" spans="1:10" ht="15" x14ac:dyDescent="0.25">
      <c r="A115" s="7">
        <f t="shared" si="4"/>
        <v>114</v>
      </c>
      <c r="B115" s="21">
        <v>3</v>
      </c>
      <c r="C115" s="21" t="s">
        <v>375</v>
      </c>
      <c r="D115" s="24" t="s">
        <v>88</v>
      </c>
      <c r="E115" s="24">
        <v>41524</v>
      </c>
      <c r="F115" s="24" t="s">
        <v>89</v>
      </c>
      <c r="G115" s="25" t="s">
        <v>43</v>
      </c>
      <c r="H115" s="24" t="s">
        <v>44</v>
      </c>
      <c r="I115" s="7">
        <v>7</v>
      </c>
      <c r="J115" s="7" t="str">
        <f t="shared" si="5"/>
        <v>Khá</v>
      </c>
    </row>
    <row r="116" spans="1:10" ht="15" x14ac:dyDescent="0.25">
      <c r="A116" s="7">
        <f t="shared" si="4"/>
        <v>115</v>
      </c>
      <c r="B116" s="21">
        <v>3</v>
      </c>
      <c r="C116" s="21" t="s">
        <v>375</v>
      </c>
      <c r="D116" s="24" t="s">
        <v>11</v>
      </c>
      <c r="E116" s="24">
        <v>60331</v>
      </c>
      <c r="F116" s="24" t="s">
        <v>12</v>
      </c>
      <c r="G116" s="25" t="s">
        <v>7</v>
      </c>
      <c r="H116" s="24" t="s">
        <v>3</v>
      </c>
      <c r="I116" s="7">
        <v>7</v>
      </c>
      <c r="J116" s="7" t="str">
        <f t="shared" si="5"/>
        <v>Khá</v>
      </c>
    </row>
    <row r="117" spans="1:10" ht="15" x14ac:dyDescent="0.25">
      <c r="A117" s="7">
        <f t="shared" si="4"/>
        <v>116</v>
      </c>
      <c r="B117" s="21">
        <v>3</v>
      </c>
      <c r="C117" s="21" t="s">
        <v>375</v>
      </c>
      <c r="D117" s="24" t="s">
        <v>33</v>
      </c>
      <c r="E117" s="24">
        <v>45176</v>
      </c>
      <c r="F117" s="24" t="s">
        <v>34</v>
      </c>
      <c r="G117" s="25" t="s">
        <v>175</v>
      </c>
      <c r="H117" s="24" t="s">
        <v>3</v>
      </c>
      <c r="I117" s="7">
        <v>8</v>
      </c>
      <c r="J117" s="7" t="str">
        <f t="shared" si="5"/>
        <v>Giỏi</v>
      </c>
    </row>
    <row r="118" spans="1:10" ht="15" x14ac:dyDescent="0.25">
      <c r="A118" s="7">
        <f t="shared" si="4"/>
        <v>117</v>
      </c>
      <c r="B118" s="21">
        <v>3</v>
      </c>
      <c r="C118" s="21" t="s">
        <v>375</v>
      </c>
      <c r="D118" s="24" t="s">
        <v>351</v>
      </c>
      <c r="E118" s="24">
        <v>58334</v>
      </c>
      <c r="F118" s="24" t="s">
        <v>259</v>
      </c>
      <c r="G118" s="25" t="s">
        <v>106</v>
      </c>
      <c r="H118" s="24" t="s">
        <v>19</v>
      </c>
      <c r="I118" s="7">
        <v>8</v>
      </c>
      <c r="J118" s="7" t="str">
        <f t="shared" si="5"/>
        <v>Giỏi</v>
      </c>
    </row>
    <row r="119" spans="1:10" ht="15" x14ac:dyDescent="0.25">
      <c r="A119" s="7">
        <f t="shared" si="4"/>
        <v>118</v>
      </c>
      <c r="B119" s="21">
        <v>3</v>
      </c>
      <c r="C119" s="21" t="s">
        <v>375</v>
      </c>
      <c r="D119" s="24" t="s">
        <v>116</v>
      </c>
      <c r="E119" s="24">
        <v>55701</v>
      </c>
      <c r="F119" s="24" t="s">
        <v>117</v>
      </c>
      <c r="G119" s="25" t="s">
        <v>147</v>
      </c>
      <c r="H119" s="24" t="s">
        <v>19</v>
      </c>
      <c r="I119" s="7">
        <v>7.5</v>
      </c>
      <c r="J119" s="7" t="str">
        <f t="shared" si="5"/>
        <v>Khá</v>
      </c>
    </row>
    <row r="120" spans="1:10" ht="15.75" x14ac:dyDescent="0.25">
      <c r="A120" s="7">
        <f t="shared" si="4"/>
        <v>119</v>
      </c>
      <c r="B120" s="21">
        <v>3</v>
      </c>
      <c r="C120" s="21" t="s">
        <v>375</v>
      </c>
      <c r="D120" s="14" t="s">
        <v>267</v>
      </c>
      <c r="E120" s="24">
        <v>64098</v>
      </c>
      <c r="F120" s="24" t="s">
        <v>226</v>
      </c>
      <c r="G120" s="25" t="s">
        <v>141</v>
      </c>
      <c r="H120" s="24" t="s">
        <v>44</v>
      </c>
      <c r="I120" s="7">
        <v>6.5</v>
      </c>
      <c r="J120" s="7" t="str">
        <f t="shared" si="5"/>
        <v>Khá</v>
      </c>
    </row>
    <row r="121" spans="1:10" ht="15" x14ac:dyDescent="0.25">
      <c r="A121" s="7">
        <f t="shared" si="4"/>
        <v>120</v>
      </c>
      <c r="B121" s="21">
        <v>3</v>
      </c>
      <c r="C121" s="21" t="s">
        <v>375</v>
      </c>
      <c r="D121" s="24" t="s">
        <v>21</v>
      </c>
      <c r="E121" s="24">
        <v>53788</v>
      </c>
      <c r="F121" s="24" t="s">
        <v>22</v>
      </c>
      <c r="G121" s="25" t="s">
        <v>175</v>
      </c>
      <c r="H121" s="24" t="s">
        <v>3</v>
      </c>
      <c r="I121" s="7">
        <v>8.5</v>
      </c>
      <c r="J121" s="7" t="str">
        <f t="shared" si="5"/>
        <v>Giỏi</v>
      </c>
    </row>
    <row r="122" spans="1:10" ht="15" x14ac:dyDescent="0.25">
      <c r="A122" s="7">
        <f t="shared" si="4"/>
        <v>121</v>
      </c>
      <c r="B122" s="21">
        <v>3</v>
      </c>
      <c r="C122" s="21" t="s">
        <v>375</v>
      </c>
      <c r="D122" s="24" t="s">
        <v>15</v>
      </c>
      <c r="E122" s="24">
        <v>40254</v>
      </c>
      <c r="F122" s="24" t="s">
        <v>16</v>
      </c>
      <c r="G122" s="25" t="s">
        <v>35</v>
      </c>
      <c r="H122" s="24" t="s">
        <v>10</v>
      </c>
      <c r="I122" s="7">
        <v>8</v>
      </c>
      <c r="J122" s="7" t="str">
        <f t="shared" si="5"/>
        <v>Giỏi</v>
      </c>
    </row>
    <row r="123" spans="1:10" ht="15.75" x14ac:dyDescent="0.25">
      <c r="A123" s="7">
        <f t="shared" si="4"/>
        <v>122</v>
      </c>
      <c r="B123" s="21">
        <v>3</v>
      </c>
      <c r="C123" s="21" t="s">
        <v>375</v>
      </c>
      <c r="D123" s="14" t="s">
        <v>302</v>
      </c>
      <c r="E123" s="24">
        <v>67827</v>
      </c>
      <c r="F123" s="24" t="s">
        <v>352</v>
      </c>
      <c r="G123" s="25" t="s">
        <v>213</v>
      </c>
      <c r="H123" s="24" t="s">
        <v>19</v>
      </c>
      <c r="I123" s="7">
        <v>6.5</v>
      </c>
      <c r="J123" s="7" t="str">
        <f t="shared" si="5"/>
        <v>Khá</v>
      </c>
    </row>
    <row r="124" spans="1:10" ht="15" x14ac:dyDescent="0.25">
      <c r="A124" s="7">
        <f t="shared" si="4"/>
        <v>123</v>
      </c>
      <c r="B124" s="21">
        <v>3</v>
      </c>
      <c r="C124" s="21" t="s">
        <v>375</v>
      </c>
      <c r="D124" s="24" t="s">
        <v>243</v>
      </c>
      <c r="E124" s="24">
        <v>65728</v>
      </c>
      <c r="F124" s="24" t="s">
        <v>275</v>
      </c>
      <c r="G124" s="25" t="s">
        <v>141</v>
      </c>
      <c r="H124" s="24" t="s">
        <v>44</v>
      </c>
      <c r="I124" s="7">
        <v>7</v>
      </c>
      <c r="J124" s="7" t="str">
        <f t="shared" si="5"/>
        <v>Khá</v>
      </c>
    </row>
    <row r="125" spans="1:10" ht="15" x14ac:dyDescent="0.25">
      <c r="A125" s="7">
        <f t="shared" si="4"/>
        <v>124</v>
      </c>
      <c r="B125" s="21">
        <v>3</v>
      </c>
      <c r="C125" s="21" t="s">
        <v>375</v>
      </c>
      <c r="D125" s="24" t="s">
        <v>305</v>
      </c>
      <c r="E125" s="24">
        <v>68338</v>
      </c>
      <c r="F125" s="24" t="s">
        <v>353</v>
      </c>
      <c r="G125" s="25" t="s">
        <v>141</v>
      </c>
      <c r="H125" s="24" t="s">
        <v>44</v>
      </c>
      <c r="I125" s="7">
        <v>6.5</v>
      </c>
      <c r="J125" s="7" t="str">
        <f t="shared" si="5"/>
        <v>Khá</v>
      </c>
    </row>
    <row r="126" spans="1:10" ht="15" x14ac:dyDescent="0.25">
      <c r="A126" s="7">
        <f t="shared" si="4"/>
        <v>125</v>
      </c>
      <c r="B126" s="21">
        <v>3</v>
      </c>
      <c r="C126" s="21" t="s">
        <v>375</v>
      </c>
      <c r="D126" s="24" t="s">
        <v>225</v>
      </c>
      <c r="E126" s="24">
        <v>64474</v>
      </c>
      <c r="F126" s="24" t="s">
        <v>238</v>
      </c>
      <c r="G126" s="25" t="s">
        <v>43</v>
      </c>
      <c r="H126" s="24" t="s">
        <v>44</v>
      </c>
      <c r="I126" s="7">
        <v>7.5</v>
      </c>
      <c r="J126" s="7" t="str">
        <f t="shared" si="5"/>
        <v>Khá</v>
      </c>
    </row>
    <row r="127" spans="1:10" ht="15.75" x14ac:dyDescent="0.25">
      <c r="A127" s="7">
        <f t="shared" si="4"/>
        <v>126</v>
      </c>
      <c r="B127" s="21">
        <v>3</v>
      </c>
      <c r="C127" s="21" t="s">
        <v>375</v>
      </c>
      <c r="D127" s="14" t="s">
        <v>261</v>
      </c>
      <c r="E127" s="24">
        <v>43145</v>
      </c>
      <c r="F127" s="24" t="s">
        <v>297</v>
      </c>
      <c r="G127" s="25" t="s">
        <v>147</v>
      </c>
      <c r="H127" s="24" t="s">
        <v>19</v>
      </c>
      <c r="I127" s="7">
        <v>8.5</v>
      </c>
      <c r="J127" s="7" t="str">
        <f t="shared" si="5"/>
        <v>Giỏi</v>
      </c>
    </row>
    <row r="128" spans="1:10" ht="15" x14ac:dyDescent="0.25">
      <c r="A128" s="7">
        <f t="shared" si="4"/>
        <v>127</v>
      </c>
      <c r="B128" s="21">
        <v>3</v>
      </c>
      <c r="C128" s="21" t="s">
        <v>375</v>
      </c>
      <c r="D128" s="24" t="s">
        <v>354</v>
      </c>
      <c r="E128" s="24">
        <v>58102</v>
      </c>
      <c r="F128" s="24" t="s">
        <v>355</v>
      </c>
      <c r="G128" s="25" t="s">
        <v>40</v>
      </c>
      <c r="H128" s="24" t="s">
        <v>3</v>
      </c>
      <c r="I128" s="7">
        <v>6</v>
      </c>
      <c r="J128" s="7" t="str">
        <f t="shared" si="5"/>
        <v>Trung bình</v>
      </c>
    </row>
    <row r="129" spans="1:10" ht="15.75" x14ac:dyDescent="0.25">
      <c r="A129" s="7">
        <f t="shared" si="4"/>
        <v>128</v>
      </c>
      <c r="B129" s="21">
        <v>3</v>
      </c>
      <c r="C129" s="21" t="s">
        <v>375</v>
      </c>
      <c r="D129" s="17" t="s">
        <v>94</v>
      </c>
      <c r="E129" s="24">
        <v>58712</v>
      </c>
      <c r="F129" s="24" t="s">
        <v>95</v>
      </c>
      <c r="G129" s="25" t="s">
        <v>106</v>
      </c>
      <c r="H129" s="24" t="s">
        <v>19</v>
      </c>
      <c r="I129" s="7">
        <v>8</v>
      </c>
      <c r="J129" s="7" t="str">
        <f t="shared" si="5"/>
        <v>Giỏi</v>
      </c>
    </row>
    <row r="130" spans="1:10" ht="15.75" x14ac:dyDescent="0.25">
      <c r="A130" s="7">
        <f t="shared" si="4"/>
        <v>129</v>
      </c>
      <c r="B130" s="21">
        <v>3</v>
      </c>
      <c r="C130" s="21" t="s">
        <v>375</v>
      </c>
      <c r="D130" s="14" t="s">
        <v>162</v>
      </c>
      <c r="E130" s="24">
        <v>46324</v>
      </c>
      <c r="F130" s="24" t="s">
        <v>163</v>
      </c>
      <c r="G130" s="25" t="s">
        <v>141</v>
      </c>
      <c r="H130" s="24" t="s">
        <v>44</v>
      </c>
      <c r="I130" s="7">
        <v>6.5</v>
      </c>
      <c r="J130" s="7" t="str">
        <f t="shared" si="5"/>
        <v>Khá</v>
      </c>
    </row>
    <row r="131" spans="1:10" ht="15" x14ac:dyDescent="0.25">
      <c r="A131" s="7">
        <f t="shared" ref="A131:A174" si="6">ROW()-1</f>
        <v>130</v>
      </c>
      <c r="B131" s="21">
        <v>3</v>
      </c>
      <c r="C131" s="21" t="s">
        <v>375</v>
      </c>
      <c r="D131" s="24" t="s">
        <v>236</v>
      </c>
      <c r="E131" s="24">
        <v>65223</v>
      </c>
      <c r="F131" s="24" t="s">
        <v>237</v>
      </c>
      <c r="G131" s="25" t="s">
        <v>141</v>
      </c>
      <c r="H131" s="24" t="s">
        <v>44</v>
      </c>
      <c r="I131" s="7">
        <v>7.5</v>
      </c>
      <c r="J131" s="7" t="str">
        <f t="shared" ref="J131:J174" si="7">IF(I131&gt;=8,"Giỏi",IF(I131&gt;=6.5,"Khá",IF(I131&gt;=4.5,"Trung bình","Yếu")))</f>
        <v>Khá</v>
      </c>
    </row>
    <row r="132" spans="1:10" ht="15.75" x14ac:dyDescent="0.25">
      <c r="A132" s="7">
        <f t="shared" si="6"/>
        <v>131</v>
      </c>
      <c r="B132" s="21">
        <v>3</v>
      </c>
      <c r="C132" s="21" t="s">
        <v>375</v>
      </c>
      <c r="D132" s="16" t="s">
        <v>56</v>
      </c>
      <c r="E132" s="24">
        <v>53869</v>
      </c>
      <c r="F132" s="24" t="s">
        <v>188</v>
      </c>
      <c r="G132" s="25" t="s">
        <v>132</v>
      </c>
      <c r="H132" s="24" t="s">
        <v>3</v>
      </c>
      <c r="I132" s="7">
        <v>8.5</v>
      </c>
      <c r="J132" s="7" t="str">
        <f t="shared" si="7"/>
        <v>Giỏi</v>
      </c>
    </row>
    <row r="133" spans="1:10" ht="15" x14ac:dyDescent="0.25">
      <c r="A133" s="7">
        <f t="shared" si="6"/>
        <v>132</v>
      </c>
      <c r="B133" s="21">
        <v>3</v>
      </c>
      <c r="C133" s="21" t="s">
        <v>375</v>
      </c>
      <c r="D133" s="24" t="s">
        <v>46</v>
      </c>
      <c r="E133" s="24">
        <v>55019</v>
      </c>
      <c r="F133" s="24" t="s">
        <v>47</v>
      </c>
      <c r="G133" s="25" t="s">
        <v>40</v>
      </c>
      <c r="H133" s="24" t="s">
        <v>3</v>
      </c>
      <c r="I133" s="7">
        <v>6</v>
      </c>
      <c r="J133" s="7" t="str">
        <f t="shared" si="7"/>
        <v>Trung bình</v>
      </c>
    </row>
    <row r="134" spans="1:10" ht="15" x14ac:dyDescent="0.25">
      <c r="A134" s="7">
        <f t="shared" si="6"/>
        <v>133</v>
      </c>
      <c r="B134" s="21">
        <v>3</v>
      </c>
      <c r="C134" s="21" t="s">
        <v>375</v>
      </c>
      <c r="D134" s="24" t="s">
        <v>13</v>
      </c>
      <c r="E134" s="24">
        <v>53370</v>
      </c>
      <c r="F134" s="24" t="s">
        <v>14</v>
      </c>
      <c r="G134" s="25" t="s">
        <v>7</v>
      </c>
      <c r="H134" s="24" t="s">
        <v>3</v>
      </c>
      <c r="I134" s="7">
        <v>7.5</v>
      </c>
      <c r="J134" s="7" t="str">
        <f t="shared" si="7"/>
        <v>Khá</v>
      </c>
    </row>
    <row r="135" spans="1:10" ht="15" x14ac:dyDescent="0.25">
      <c r="A135" s="7">
        <f t="shared" si="6"/>
        <v>134</v>
      </c>
      <c r="B135" s="21">
        <v>3</v>
      </c>
      <c r="C135" s="21" t="s">
        <v>375</v>
      </c>
      <c r="D135" s="24" t="s">
        <v>193</v>
      </c>
      <c r="E135" s="24">
        <v>57586</v>
      </c>
      <c r="F135" s="24" t="s">
        <v>194</v>
      </c>
      <c r="G135" s="25" t="s">
        <v>71</v>
      </c>
      <c r="H135" s="24" t="s">
        <v>44</v>
      </c>
      <c r="I135" s="7">
        <v>5.5</v>
      </c>
      <c r="J135" s="7" t="str">
        <f t="shared" si="7"/>
        <v>Trung bình</v>
      </c>
    </row>
    <row r="136" spans="1:10" ht="15.75" x14ac:dyDescent="0.25">
      <c r="A136" s="7">
        <f t="shared" si="6"/>
        <v>135</v>
      </c>
      <c r="B136" s="21">
        <v>3</v>
      </c>
      <c r="C136" s="21" t="s">
        <v>375</v>
      </c>
      <c r="D136" s="16" t="s">
        <v>23</v>
      </c>
      <c r="E136" s="24">
        <v>52154</v>
      </c>
      <c r="F136" s="24" t="s">
        <v>170</v>
      </c>
      <c r="G136" s="25" t="s">
        <v>71</v>
      </c>
      <c r="H136" s="24" t="s">
        <v>3</v>
      </c>
      <c r="I136" s="7">
        <v>8.5</v>
      </c>
      <c r="J136" s="7" t="str">
        <f t="shared" si="7"/>
        <v>Giỏi</v>
      </c>
    </row>
    <row r="137" spans="1:10" ht="15.75" x14ac:dyDescent="0.25">
      <c r="A137" s="7">
        <f t="shared" si="6"/>
        <v>136</v>
      </c>
      <c r="B137" s="21">
        <v>3</v>
      </c>
      <c r="C137" s="21" t="s">
        <v>375</v>
      </c>
      <c r="D137" s="16" t="s">
        <v>311</v>
      </c>
      <c r="E137" s="24">
        <v>68492</v>
      </c>
      <c r="F137" s="24" t="s">
        <v>356</v>
      </c>
      <c r="G137" s="25" t="s">
        <v>40</v>
      </c>
      <c r="H137" s="24" t="s">
        <v>3</v>
      </c>
      <c r="I137" s="7">
        <v>5</v>
      </c>
      <c r="J137" s="7" t="str">
        <f t="shared" si="7"/>
        <v>Trung bình</v>
      </c>
    </row>
    <row r="138" spans="1:10" ht="15" x14ac:dyDescent="0.25">
      <c r="A138" s="7">
        <f t="shared" si="6"/>
        <v>137</v>
      </c>
      <c r="B138" s="21">
        <v>3</v>
      </c>
      <c r="C138" s="21" t="s">
        <v>375</v>
      </c>
      <c r="D138" s="24" t="s">
        <v>320</v>
      </c>
      <c r="E138" s="24" t="s">
        <v>357</v>
      </c>
      <c r="F138" s="24" t="s">
        <v>358</v>
      </c>
      <c r="G138" s="25" t="s">
        <v>171</v>
      </c>
      <c r="H138" s="24" t="s">
        <v>3</v>
      </c>
      <c r="I138" s="7">
        <v>8</v>
      </c>
      <c r="J138" s="7" t="str">
        <f t="shared" si="7"/>
        <v>Giỏi</v>
      </c>
    </row>
    <row r="139" spans="1:10" ht="15.75" x14ac:dyDescent="0.25">
      <c r="A139" s="7">
        <f t="shared" si="6"/>
        <v>138</v>
      </c>
      <c r="B139" s="21">
        <v>3</v>
      </c>
      <c r="C139" s="21" t="s">
        <v>375</v>
      </c>
      <c r="D139" s="14" t="s">
        <v>229</v>
      </c>
      <c r="E139" s="24">
        <v>63996</v>
      </c>
      <c r="F139" s="24" t="s">
        <v>359</v>
      </c>
      <c r="G139" s="25" t="s">
        <v>7</v>
      </c>
      <c r="H139" s="24" t="s">
        <v>3</v>
      </c>
      <c r="I139" s="7">
        <v>7</v>
      </c>
      <c r="J139" s="7" t="str">
        <f t="shared" si="7"/>
        <v>Khá</v>
      </c>
    </row>
    <row r="140" spans="1:10" ht="15" x14ac:dyDescent="0.25">
      <c r="A140" s="7">
        <f t="shared" si="6"/>
        <v>139</v>
      </c>
      <c r="B140" s="21">
        <v>3</v>
      </c>
      <c r="C140" s="21" t="s">
        <v>375</v>
      </c>
      <c r="D140" s="24" t="s">
        <v>135</v>
      </c>
      <c r="E140" s="24">
        <v>51994</v>
      </c>
      <c r="F140" s="24" t="s">
        <v>196</v>
      </c>
      <c r="G140" s="25" t="s">
        <v>125</v>
      </c>
      <c r="H140" s="24" t="s">
        <v>3</v>
      </c>
      <c r="I140" s="7">
        <v>7.5</v>
      </c>
      <c r="J140" s="7" t="str">
        <f t="shared" si="7"/>
        <v>Khá</v>
      </c>
    </row>
    <row r="141" spans="1:10" ht="15" x14ac:dyDescent="0.25">
      <c r="A141" s="7">
        <f t="shared" si="6"/>
        <v>140</v>
      </c>
      <c r="B141" s="21">
        <v>3</v>
      </c>
      <c r="C141" s="21" t="s">
        <v>375</v>
      </c>
      <c r="D141" s="24" t="s">
        <v>360</v>
      </c>
      <c r="E141" s="24">
        <v>50925</v>
      </c>
      <c r="F141" s="24" t="s">
        <v>96</v>
      </c>
      <c r="G141" s="25" t="s">
        <v>43</v>
      </c>
      <c r="H141" s="24" t="s">
        <v>44</v>
      </c>
      <c r="I141" s="7">
        <v>5.5</v>
      </c>
      <c r="J141" s="7" t="str">
        <f t="shared" si="7"/>
        <v>Trung bình</v>
      </c>
    </row>
    <row r="142" spans="1:10" ht="15" x14ac:dyDescent="0.25">
      <c r="A142" s="7">
        <f t="shared" si="6"/>
        <v>141</v>
      </c>
      <c r="B142" s="21">
        <v>3</v>
      </c>
      <c r="C142" s="21" t="s">
        <v>375</v>
      </c>
      <c r="D142" s="24" t="s">
        <v>125</v>
      </c>
      <c r="E142" s="24">
        <v>7787</v>
      </c>
      <c r="F142" s="24" t="s">
        <v>126</v>
      </c>
      <c r="G142" s="25" t="s">
        <v>125</v>
      </c>
      <c r="H142" s="24" t="s">
        <v>3</v>
      </c>
      <c r="I142" s="7">
        <v>8</v>
      </c>
      <c r="J142" s="7" t="str">
        <f t="shared" si="7"/>
        <v>Giỏi</v>
      </c>
    </row>
    <row r="143" spans="1:10" ht="15" x14ac:dyDescent="0.25">
      <c r="A143" s="7">
        <f t="shared" si="6"/>
        <v>142</v>
      </c>
      <c r="B143" s="21">
        <v>3</v>
      </c>
      <c r="C143" s="21" t="s">
        <v>375</v>
      </c>
      <c r="D143" s="24" t="s">
        <v>104</v>
      </c>
      <c r="E143" s="24">
        <v>55024</v>
      </c>
      <c r="F143" s="24" t="s">
        <v>105</v>
      </c>
      <c r="G143" s="25" t="s">
        <v>173</v>
      </c>
      <c r="H143" s="24" t="s">
        <v>19</v>
      </c>
      <c r="I143" s="7">
        <v>8.5</v>
      </c>
      <c r="J143" s="7" t="str">
        <f t="shared" si="7"/>
        <v>Giỏi</v>
      </c>
    </row>
    <row r="144" spans="1:10" ht="15.75" x14ac:dyDescent="0.25">
      <c r="A144" s="7">
        <f t="shared" si="6"/>
        <v>143</v>
      </c>
      <c r="B144" s="21">
        <v>3</v>
      </c>
      <c r="C144" s="21" t="s">
        <v>375</v>
      </c>
      <c r="D144" s="14" t="s">
        <v>309</v>
      </c>
      <c r="E144" s="24">
        <v>68712</v>
      </c>
      <c r="F144" s="24" t="s">
        <v>361</v>
      </c>
      <c r="G144" s="25" t="s">
        <v>125</v>
      </c>
      <c r="H144" s="24" t="s">
        <v>3</v>
      </c>
      <c r="I144" s="7">
        <v>8</v>
      </c>
      <c r="J144" s="7" t="str">
        <f t="shared" si="7"/>
        <v>Giỏi</v>
      </c>
    </row>
    <row r="145" spans="1:10" ht="15" x14ac:dyDescent="0.25">
      <c r="A145" s="7">
        <f t="shared" si="6"/>
        <v>144</v>
      </c>
      <c r="B145" s="21">
        <v>3</v>
      </c>
      <c r="C145" s="21" t="s">
        <v>375</v>
      </c>
      <c r="D145" s="24" t="s">
        <v>142</v>
      </c>
      <c r="E145" s="24">
        <v>59070</v>
      </c>
      <c r="F145" s="24" t="s">
        <v>240</v>
      </c>
      <c r="G145" s="25" t="s">
        <v>125</v>
      </c>
      <c r="H145" s="24" t="s">
        <v>3</v>
      </c>
      <c r="I145" s="7">
        <v>8</v>
      </c>
      <c r="J145" s="7" t="str">
        <f t="shared" si="7"/>
        <v>Giỏi</v>
      </c>
    </row>
    <row r="146" spans="1:10" ht="15" x14ac:dyDescent="0.25">
      <c r="A146" s="7">
        <f t="shared" si="6"/>
        <v>145</v>
      </c>
      <c r="B146" s="21">
        <v>3</v>
      </c>
      <c r="C146" s="21" t="s">
        <v>375</v>
      </c>
      <c r="D146" s="24" t="s">
        <v>93</v>
      </c>
      <c r="E146" s="24">
        <v>61204</v>
      </c>
      <c r="F146" s="24" t="s">
        <v>287</v>
      </c>
      <c r="G146" s="25" t="s">
        <v>175</v>
      </c>
      <c r="H146" s="24" t="s">
        <v>3</v>
      </c>
      <c r="I146" s="7">
        <v>8.5</v>
      </c>
      <c r="J146" s="7" t="str">
        <f t="shared" si="7"/>
        <v>Giỏi</v>
      </c>
    </row>
    <row r="147" spans="1:10" ht="15" x14ac:dyDescent="0.25">
      <c r="A147" s="7">
        <f t="shared" si="6"/>
        <v>146</v>
      </c>
      <c r="B147" s="21">
        <v>3</v>
      </c>
      <c r="C147" s="21" t="s">
        <v>375</v>
      </c>
      <c r="D147" s="24" t="s">
        <v>99</v>
      </c>
      <c r="E147" s="24">
        <v>41528</v>
      </c>
      <c r="F147" s="24" t="s">
        <v>100</v>
      </c>
      <c r="G147" s="25" t="s">
        <v>43</v>
      </c>
      <c r="H147" s="24" t="s">
        <v>44</v>
      </c>
      <c r="I147" s="7">
        <v>7</v>
      </c>
      <c r="J147" s="7" t="str">
        <f t="shared" si="7"/>
        <v>Khá</v>
      </c>
    </row>
    <row r="148" spans="1:10" ht="15.75" x14ac:dyDescent="0.25">
      <c r="A148" s="7">
        <f t="shared" si="6"/>
        <v>147</v>
      </c>
      <c r="B148" s="21">
        <v>3</v>
      </c>
      <c r="C148" s="21" t="s">
        <v>375</v>
      </c>
      <c r="D148" s="14" t="s">
        <v>189</v>
      </c>
      <c r="E148" s="24">
        <v>61026</v>
      </c>
      <c r="F148" s="24" t="s">
        <v>57</v>
      </c>
      <c r="G148" s="25" t="s">
        <v>125</v>
      </c>
      <c r="H148" s="24" t="s">
        <v>3</v>
      </c>
      <c r="I148" s="7">
        <v>7.5</v>
      </c>
      <c r="J148" s="7" t="str">
        <f t="shared" si="7"/>
        <v>Khá</v>
      </c>
    </row>
    <row r="149" spans="1:10" ht="15" x14ac:dyDescent="0.25">
      <c r="A149" s="7">
        <f t="shared" si="6"/>
        <v>148</v>
      </c>
      <c r="B149" s="21">
        <v>3</v>
      </c>
      <c r="C149" s="21" t="s">
        <v>375</v>
      </c>
      <c r="D149" s="24" t="s">
        <v>58</v>
      </c>
      <c r="E149" s="24">
        <v>55121</v>
      </c>
      <c r="F149" s="24" t="s">
        <v>362</v>
      </c>
      <c r="G149" s="25" t="s">
        <v>132</v>
      </c>
      <c r="H149" s="24" t="s">
        <v>3</v>
      </c>
      <c r="I149" s="7">
        <v>9.5</v>
      </c>
      <c r="J149" s="7" t="str">
        <f t="shared" si="7"/>
        <v>Giỏi</v>
      </c>
    </row>
    <row r="150" spans="1:10" ht="15" x14ac:dyDescent="0.25">
      <c r="A150" s="7">
        <f t="shared" si="6"/>
        <v>149</v>
      </c>
      <c r="B150" s="21">
        <v>3</v>
      </c>
      <c r="C150" s="21" t="s">
        <v>375</v>
      </c>
      <c r="D150" s="24" t="s">
        <v>207</v>
      </c>
      <c r="E150" s="24">
        <v>47098</v>
      </c>
      <c r="F150" s="24" t="s">
        <v>286</v>
      </c>
      <c r="G150" s="25" t="s">
        <v>125</v>
      </c>
      <c r="H150" s="24" t="s">
        <v>3</v>
      </c>
      <c r="I150" s="7">
        <v>8</v>
      </c>
      <c r="J150" s="7" t="str">
        <f t="shared" si="7"/>
        <v>Giỏi</v>
      </c>
    </row>
    <row r="151" spans="1:10" ht="15" x14ac:dyDescent="0.25">
      <c r="A151" s="7">
        <f t="shared" si="6"/>
        <v>150</v>
      </c>
      <c r="B151" s="21">
        <v>3</v>
      </c>
      <c r="C151" s="21" t="s">
        <v>375</v>
      </c>
      <c r="D151" s="24" t="s">
        <v>169</v>
      </c>
      <c r="E151" s="24">
        <v>57387</v>
      </c>
      <c r="F151" s="24" t="s">
        <v>363</v>
      </c>
      <c r="G151" s="25" t="s">
        <v>171</v>
      </c>
      <c r="H151" s="24" t="s">
        <v>3</v>
      </c>
      <c r="I151" s="7">
        <v>7.5</v>
      </c>
      <c r="J151" s="7" t="str">
        <f t="shared" si="7"/>
        <v>Khá</v>
      </c>
    </row>
    <row r="152" spans="1:10" ht="15" x14ac:dyDescent="0.25">
      <c r="A152" s="7">
        <f t="shared" si="6"/>
        <v>151</v>
      </c>
      <c r="B152" s="21">
        <v>3</v>
      </c>
      <c r="C152" s="21" t="s">
        <v>375</v>
      </c>
      <c r="D152" s="24" t="s">
        <v>9</v>
      </c>
      <c r="E152" s="24">
        <v>46768</v>
      </c>
      <c r="F152" s="24" t="s">
        <v>272</v>
      </c>
      <c r="G152" s="25" t="s">
        <v>35</v>
      </c>
      <c r="H152" s="24" t="s">
        <v>10</v>
      </c>
      <c r="I152" s="7">
        <v>8.5</v>
      </c>
      <c r="J152" s="7" t="str">
        <f t="shared" si="7"/>
        <v>Giỏi</v>
      </c>
    </row>
    <row r="153" spans="1:10" ht="15" x14ac:dyDescent="0.25">
      <c r="A153" s="7">
        <f t="shared" si="6"/>
        <v>152</v>
      </c>
      <c r="B153" s="21">
        <v>3</v>
      </c>
      <c r="C153" s="21" t="s">
        <v>375</v>
      </c>
      <c r="D153" s="24" t="s">
        <v>131</v>
      </c>
      <c r="E153" s="24">
        <v>61633</v>
      </c>
      <c r="F153" s="24" t="s">
        <v>216</v>
      </c>
      <c r="G153" s="25" t="s">
        <v>125</v>
      </c>
      <c r="H153" s="24" t="s">
        <v>3</v>
      </c>
      <c r="I153" s="7">
        <v>8</v>
      </c>
      <c r="J153" s="7" t="str">
        <f t="shared" si="7"/>
        <v>Giỏi</v>
      </c>
    </row>
    <row r="154" spans="1:10" ht="15.75" x14ac:dyDescent="0.25">
      <c r="A154" s="7">
        <f t="shared" si="6"/>
        <v>153</v>
      </c>
      <c r="B154" s="21">
        <v>3</v>
      </c>
      <c r="C154" s="21" t="s">
        <v>375</v>
      </c>
      <c r="D154" s="16" t="s">
        <v>312</v>
      </c>
      <c r="E154" s="24">
        <v>68875</v>
      </c>
      <c r="F154" s="24" t="s">
        <v>364</v>
      </c>
      <c r="G154" s="25" t="s">
        <v>40</v>
      </c>
      <c r="H154" s="24" t="s">
        <v>3</v>
      </c>
      <c r="I154" s="7">
        <v>7</v>
      </c>
      <c r="J154" s="7" t="str">
        <f t="shared" si="7"/>
        <v>Khá</v>
      </c>
    </row>
    <row r="155" spans="1:10" ht="15" x14ac:dyDescent="0.25">
      <c r="A155" s="7">
        <f t="shared" si="6"/>
        <v>154</v>
      </c>
      <c r="B155" s="21">
        <v>3</v>
      </c>
      <c r="C155" s="21" t="s">
        <v>375</v>
      </c>
      <c r="D155" s="24" t="s">
        <v>308</v>
      </c>
      <c r="E155" s="24">
        <v>68337</v>
      </c>
      <c r="F155" s="24" t="s">
        <v>365</v>
      </c>
      <c r="G155" s="25" t="s">
        <v>125</v>
      </c>
      <c r="H155" s="24" t="s">
        <v>3</v>
      </c>
      <c r="I155" s="7">
        <v>8</v>
      </c>
      <c r="J155" s="7" t="str">
        <f t="shared" si="7"/>
        <v>Giỏi</v>
      </c>
    </row>
    <row r="156" spans="1:10" ht="15" x14ac:dyDescent="0.25">
      <c r="A156" s="7">
        <f t="shared" si="6"/>
        <v>155</v>
      </c>
      <c r="B156" s="21">
        <v>3</v>
      </c>
      <c r="C156" s="21" t="s">
        <v>375</v>
      </c>
      <c r="D156" s="24" t="s">
        <v>154</v>
      </c>
      <c r="E156" s="24">
        <v>53356</v>
      </c>
      <c r="F156" s="24" t="s">
        <v>155</v>
      </c>
      <c r="G156" s="25" t="s">
        <v>40</v>
      </c>
      <c r="H156" s="24" t="s">
        <v>3</v>
      </c>
      <c r="I156" s="7">
        <v>8</v>
      </c>
      <c r="J156" s="7" t="str">
        <f t="shared" si="7"/>
        <v>Giỏi</v>
      </c>
    </row>
    <row r="157" spans="1:10" ht="15" x14ac:dyDescent="0.25">
      <c r="A157" s="7">
        <f t="shared" si="6"/>
        <v>156</v>
      </c>
      <c r="B157" s="21">
        <v>3</v>
      </c>
      <c r="C157" s="21" t="s">
        <v>375</v>
      </c>
      <c r="D157" s="24" t="s">
        <v>314</v>
      </c>
      <c r="E157" s="24">
        <v>68069</v>
      </c>
      <c r="F157" s="24" t="s">
        <v>366</v>
      </c>
      <c r="G157" s="25" t="s">
        <v>175</v>
      </c>
      <c r="H157" s="24" t="s">
        <v>3</v>
      </c>
      <c r="I157" s="7">
        <v>8.5</v>
      </c>
      <c r="J157" s="7" t="str">
        <f t="shared" si="7"/>
        <v>Giỏi</v>
      </c>
    </row>
    <row r="158" spans="1:10" ht="15" x14ac:dyDescent="0.25">
      <c r="A158" s="7">
        <f t="shared" si="6"/>
        <v>157</v>
      </c>
      <c r="B158" s="21">
        <v>3</v>
      </c>
      <c r="C158" s="21" t="s">
        <v>375</v>
      </c>
      <c r="D158" s="24" t="s">
        <v>367</v>
      </c>
      <c r="E158" s="24">
        <v>63100</v>
      </c>
      <c r="F158" s="24" t="s">
        <v>149</v>
      </c>
      <c r="G158" s="25" t="s">
        <v>115</v>
      </c>
      <c r="H158" s="24" t="s">
        <v>44</v>
      </c>
      <c r="I158" s="7">
        <v>5.5</v>
      </c>
      <c r="J158" s="7" t="str">
        <f t="shared" si="7"/>
        <v>Trung bình</v>
      </c>
    </row>
    <row r="159" spans="1:10" ht="15.75" x14ac:dyDescent="0.25">
      <c r="A159" s="7">
        <f t="shared" si="6"/>
        <v>158</v>
      </c>
      <c r="B159" s="21">
        <v>3</v>
      </c>
      <c r="C159" s="21" t="s">
        <v>375</v>
      </c>
      <c r="D159" s="14" t="s">
        <v>118</v>
      </c>
      <c r="E159" s="24">
        <v>53484</v>
      </c>
      <c r="F159" s="24" t="s">
        <v>119</v>
      </c>
      <c r="G159" s="25" t="s">
        <v>110</v>
      </c>
      <c r="H159" s="24" t="s">
        <v>19</v>
      </c>
      <c r="I159" s="7">
        <v>6.5</v>
      </c>
      <c r="J159" s="7" t="str">
        <f t="shared" si="7"/>
        <v>Khá</v>
      </c>
    </row>
    <row r="160" spans="1:10" ht="15" x14ac:dyDescent="0.25">
      <c r="A160" s="7">
        <f t="shared" si="6"/>
        <v>159</v>
      </c>
      <c r="B160" s="21">
        <v>3</v>
      </c>
      <c r="C160" s="21" t="s">
        <v>375</v>
      </c>
      <c r="D160" s="24" t="s">
        <v>199</v>
      </c>
      <c r="E160" s="24">
        <v>61875</v>
      </c>
      <c r="F160" s="24" t="s">
        <v>200</v>
      </c>
      <c r="G160" s="25" t="s">
        <v>132</v>
      </c>
      <c r="H160" s="24" t="s">
        <v>3</v>
      </c>
      <c r="I160" s="7">
        <v>9.5</v>
      </c>
      <c r="J160" s="7" t="str">
        <f t="shared" si="7"/>
        <v>Giỏi</v>
      </c>
    </row>
    <row r="161" spans="1:10" ht="15" x14ac:dyDescent="0.25">
      <c r="A161" s="7">
        <f t="shared" si="6"/>
        <v>160</v>
      </c>
      <c r="B161" s="21">
        <v>3</v>
      </c>
      <c r="C161" s="21" t="s">
        <v>375</v>
      </c>
      <c r="D161" s="24" t="s">
        <v>316</v>
      </c>
      <c r="E161" s="24">
        <v>68208</v>
      </c>
      <c r="F161" s="24" t="s">
        <v>368</v>
      </c>
      <c r="G161" s="25" t="s">
        <v>175</v>
      </c>
      <c r="H161" s="24" t="s">
        <v>3</v>
      </c>
      <c r="I161" s="7">
        <v>7.5</v>
      </c>
      <c r="J161" s="7" t="str">
        <f t="shared" si="7"/>
        <v>Khá</v>
      </c>
    </row>
    <row r="162" spans="1:10" ht="15" x14ac:dyDescent="0.25">
      <c r="A162" s="7">
        <f t="shared" si="6"/>
        <v>161</v>
      </c>
      <c r="B162" s="21">
        <v>3</v>
      </c>
      <c r="C162" s="21" t="s">
        <v>375</v>
      </c>
      <c r="D162" s="24" t="s">
        <v>64</v>
      </c>
      <c r="E162" s="24">
        <v>56535</v>
      </c>
      <c r="F162" s="24" t="s">
        <v>65</v>
      </c>
      <c r="G162" s="25" t="s">
        <v>71</v>
      </c>
      <c r="H162" s="24" t="s">
        <v>44</v>
      </c>
      <c r="I162" s="7">
        <v>8</v>
      </c>
      <c r="J162" s="7" t="str">
        <f t="shared" si="7"/>
        <v>Giỏi</v>
      </c>
    </row>
    <row r="163" spans="1:10" ht="15" x14ac:dyDescent="0.25">
      <c r="A163" s="7">
        <f t="shared" si="6"/>
        <v>162</v>
      </c>
      <c r="B163" s="21">
        <v>3</v>
      </c>
      <c r="C163" s="21" t="s">
        <v>375</v>
      </c>
      <c r="D163" s="24" t="s">
        <v>280</v>
      </c>
      <c r="E163" s="24">
        <v>66155</v>
      </c>
      <c r="F163" s="24" t="s">
        <v>295</v>
      </c>
      <c r="G163" s="25" t="s">
        <v>106</v>
      </c>
      <c r="H163" s="24" t="s">
        <v>19</v>
      </c>
      <c r="I163" s="7">
        <v>8</v>
      </c>
      <c r="J163" s="7" t="str">
        <f t="shared" si="7"/>
        <v>Giỏi</v>
      </c>
    </row>
    <row r="164" spans="1:10" ht="15.75" x14ac:dyDescent="0.25">
      <c r="A164" s="7">
        <f t="shared" si="6"/>
        <v>163</v>
      </c>
      <c r="B164" s="21">
        <v>3</v>
      </c>
      <c r="C164" s="21" t="s">
        <v>375</v>
      </c>
      <c r="D164" s="16" t="s">
        <v>315</v>
      </c>
      <c r="E164" s="24">
        <v>68070</v>
      </c>
      <c r="F164" s="24" t="s">
        <v>369</v>
      </c>
      <c r="G164" s="25" t="s">
        <v>175</v>
      </c>
      <c r="H164" s="24" t="s">
        <v>3</v>
      </c>
      <c r="I164" s="7">
        <v>8.5</v>
      </c>
      <c r="J164" s="7" t="str">
        <f t="shared" si="7"/>
        <v>Giỏi</v>
      </c>
    </row>
    <row r="165" spans="1:10" ht="15.75" x14ac:dyDescent="0.25">
      <c r="A165" s="7">
        <f t="shared" si="6"/>
        <v>164</v>
      </c>
      <c r="B165" s="21">
        <v>3</v>
      </c>
      <c r="C165" s="21" t="s">
        <v>375</v>
      </c>
      <c r="D165" s="14" t="s">
        <v>111</v>
      </c>
      <c r="E165" s="24">
        <v>53485</v>
      </c>
      <c r="F165" s="24" t="s">
        <v>112</v>
      </c>
      <c r="G165" s="25" t="s">
        <v>113</v>
      </c>
      <c r="H165" s="24" t="s">
        <v>19</v>
      </c>
      <c r="I165" s="7">
        <v>7.5</v>
      </c>
      <c r="J165" s="7" t="str">
        <f t="shared" si="7"/>
        <v>Khá</v>
      </c>
    </row>
    <row r="166" spans="1:10" ht="15" x14ac:dyDescent="0.25">
      <c r="A166" s="7">
        <f t="shared" si="6"/>
        <v>165</v>
      </c>
      <c r="B166" s="21">
        <v>3</v>
      </c>
      <c r="C166" s="21" t="s">
        <v>375</v>
      </c>
      <c r="D166" s="24" t="s">
        <v>177</v>
      </c>
      <c r="E166" s="24">
        <v>41542</v>
      </c>
      <c r="F166" s="24" t="s">
        <v>178</v>
      </c>
      <c r="G166" s="25" t="s">
        <v>43</v>
      </c>
      <c r="H166" s="24" t="s">
        <v>44</v>
      </c>
      <c r="I166" s="7">
        <v>6</v>
      </c>
      <c r="J166" s="7" t="str">
        <f t="shared" si="7"/>
        <v>Trung bình</v>
      </c>
    </row>
    <row r="167" spans="1:10" ht="15" x14ac:dyDescent="0.25">
      <c r="A167" s="7">
        <f t="shared" si="6"/>
        <v>166</v>
      </c>
      <c r="B167" s="21">
        <v>3</v>
      </c>
      <c r="C167" s="21" t="s">
        <v>375</v>
      </c>
      <c r="D167" s="24" t="s">
        <v>128</v>
      </c>
      <c r="E167" s="24">
        <v>48971</v>
      </c>
      <c r="F167" s="24" t="s">
        <v>129</v>
      </c>
      <c r="G167" s="25" t="s">
        <v>125</v>
      </c>
      <c r="H167" s="24" t="s">
        <v>3</v>
      </c>
      <c r="I167" s="7">
        <v>7.5</v>
      </c>
      <c r="J167" s="7" t="str">
        <f t="shared" si="7"/>
        <v>Khá</v>
      </c>
    </row>
    <row r="168" spans="1:10" ht="15" x14ac:dyDescent="0.25">
      <c r="A168" s="7">
        <f t="shared" si="6"/>
        <v>167</v>
      </c>
      <c r="B168" s="21">
        <v>3</v>
      </c>
      <c r="C168" s="21" t="s">
        <v>375</v>
      </c>
      <c r="D168" s="24" t="s">
        <v>127</v>
      </c>
      <c r="E168" s="24">
        <v>61412</v>
      </c>
      <c r="F168" s="24" t="s">
        <v>185</v>
      </c>
      <c r="G168" s="25" t="s">
        <v>125</v>
      </c>
      <c r="H168" s="24" t="s">
        <v>3</v>
      </c>
      <c r="I168" s="7">
        <v>7.5</v>
      </c>
      <c r="J168" s="7" t="str">
        <f t="shared" si="7"/>
        <v>Khá</v>
      </c>
    </row>
    <row r="169" spans="1:10" ht="15" x14ac:dyDescent="0.25">
      <c r="A169" s="7">
        <f t="shared" si="6"/>
        <v>168</v>
      </c>
      <c r="B169" s="21">
        <v>3</v>
      </c>
      <c r="C169" s="21" t="s">
        <v>375</v>
      </c>
      <c r="D169" s="24" t="s">
        <v>370</v>
      </c>
      <c r="E169" s="24">
        <v>50151</v>
      </c>
      <c r="F169" s="24" t="s">
        <v>258</v>
      </c>
      <c r="G169" s="25" t="s">
        <v>113</v>
      </c>
      <c r="H169" s="24" t="s">
        <v>19</v>
      </c>
      <c r="I169" s="7">
        <v>8</v>
      </c>
      <c r="J169" s="7" t="str">
        <f t="shared" si="7"/>
        <v>Giỏi</v>
      </c>
    </row>
    <row r="170" spans="1:10" ht="15" x14ac:dyDescent="0.25">
      <c r="A170" s="7">
        <f t="shared" si="6"/>
        <v>169</v>
      </c>
      <c r="B170" s="21">
        <v>3</v>
      </c>
      <c r="C170" s="21" t="s">
        <v>375</v>
      </c>
      <c r="D170" s="24" t="s">
        <v>152</v>
      </c>
      <c r="E170" s="24">
        <v>45495</v>
      </c>
      <c r="F170" s="24" t="s">
        <v>153</v>
      </c>
      <c r="G170" s="25" t="s">
        <v>52</v>
      </c>
      <c r="H170" s="24" t="s">
        <v>44</v>
      </c>
      <c r="I170" s="7">
        <v>6</v>
      </c>
      <c r="J170" s="7" t="str">
        <f t="shared" si="7"/>
        <v>Trung bình</v>
      </c>
    </row>
    <row r="171" spans="1:10" ht="15" x14ac:dyDescent="0.25">
      <c r="A171" s="7">
        <f t="shared" si="6"/>
        <v>170</v>
      </c>
      <c r="B171" s="21">
        <v>3</v>
      </c>
      <c r="C171" s="21" t="s">
        <v>375</v>
      </c>
      <c r="D171" s="24" t="s">
        <v>195</v>
      </c>
      <c r="E171" s="24">
        <v>48408</v>
      </c>
      <c r="F171" s="24" t="s">
        <v>159</v>
      </c>
      <c r="G171" s="25" t="s">
        <v>52</v>
      </c>
      <c r="H171" s="24" t="s">
        <v>44</v>
      </c>
      <c r="I171" s="7">
        <v>6</v>
      </c>
      <c r="J171" s="7" t="str">
        <f t="shared" si="7"/>
        <v>Trung bình</v>
      </c>
    </row>
    <row r="172" spans="1:10" ht="15" x14ac:dyDescent="0.25">
      <c r="A172" s="7">
        <f t="shared" si="6"/>
        <v>171</v>
      </c>
      <c r="B172" s="21">
        <v>3</v>
      </c>
      <c r="C172" s="21" t="s">
        <v>375</v>
      </c>
      <c r="D172" s="24" t="s">
        <v>313</v>
      </c>
      <c r="E172" s="24">
        <v>68267</v>
      </c>
      <c r="F172" s="24" t="s">
        <v>371</v>
      </c>
      <c r="G172" s="25" t="s">
        <v>132</v>
      </c>
      <c r="H172" s="24" t="s">
        <v>3</v>
      </c>
      <c r="I172" s="7">
        <v>9.5</v>
      </c>
      <c r="J172" s="7" t="str">
        <f t="shared" si="7"/>
        <v>Giỏi</v>
      </c>
    </row>
    <row r="173" spans="1:10" ht="15" x14ac:dyDescent="0.25">
      <c r="A173" s="7">
        <f t="shared" si="6"/>
        <v>172</v>
      </c>
      <c r="B173" s="21">
        <v>3</v>
      </c>
      <c r="C173" s="21" t="s">
        <v>375</v>
      </c>
      <c r="D173" s="24" t="s">
        <v>300</v>
      </c>
      <c r="E173" s="24" t="s">
        <v>301</v>
      </c>
      <c r="F173" s="24" t="s">
        <v>372</v>
      </c>
      <c r="G173" s="25" t="s">
        <v>110</v>
      </c>
      <c r="H173" s="24" t="s">
        <v>19</v>
      </c>
      <c r="I173" s="7">
        <v>4</v>
      </c>
      <c r="J173" s="7" t="str">
        <f t="shared" si="7"/>
        <v>Yếu</v>
      </c>
    </row>
    <row r="174" spans="1:10" ht="15.75" x14ac:dyDescent="0.25">
      <c r="A174" s="7">
        <f t="shared" si="6"/>
        <v>173</v>
      </c>
      <c r="B174" s="21">
        <v>3</v>
      </c>
      <c r="C174" s="21" t="s">
        <v>375</v>
      </c>
      <c r="D174" s="24" t="s">
        <v>300</v>
      </c>
      <c r="E174" s="14">
        <v>69014</v>
      </c>
      <c r="F174" s="24" t="s">
        <v>372</v>
      </c>
      <c r="G174" s="25" t="s">
        <v>110</v>
      </c>
      <c r="H174" s="24" t="s">
        <v>19</v>
      </c>
      <c r="I174" s="7">
        <v>6</v>
      </c>
      <c r="J174" s="7" t="str">
        <f t="shared" si="7"/>
        <v>Trung bình</v>
      </c>
    </row>
    <row r="175" spans="1:10" x14ac:dyDescent="0.2">
      <c r="G175" s="22"/>
    </row>
    <row r="176" spans="1:10" x14ac:dyDescent="0.2">
      <c r="G176" s="22"/>
    </row>
    <row r="177" spans="7:7" x14ac:dyDescent="0.2">
      <c r="G177" s="22"/>
    </row>
  </sheetData>
  <mergeCells count="1">
    <mergeCell ref="M3:P3"/>
  </mergeCells>
  <hyperlinks>
    <hyperlink ref="F36" r:id="rId1" xr:uid="{62F0126C-9555-4183-AA65-E610051FF6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0E541FB879B746BA46A61D1AA3B5BA" ma:contentTypeVersion="16" ma:contentTypeDescription="Create a new document." ma:contentTypeScope="" ma:versionID="adfbd929cd821f83195658a6ff3be7f0">
  <xsd:schema xmlns:xsd="http://www.w3.org/2001/XMLSchema" xmlns:xs="http://www.w3.org/2001/XMLSchema" xmlns:p="http://schemas.microsoft.com/office/2006/metadata/properties" xmlns:ns1="http://schemas.microsoft.com/sharepoint/v3" xmlns:ns2="bd524b57-3e52-4bc5-91f8-8cbdb9d6849d" xmlns:ns3="91580b2b-7983-4e04-b017-f5e95aaf44c5" xmlns:ns4="cc103603-fa76-4195-9719-fcf5456fd878" targetNamespace="http://schemas.microsoft.com/office/2006/metadata/properties" ma:root="true" ma:fieldsID="859124d7ab4d0753a7f428d882bdb28d" ns1:_="" ns2:_="" ns3:_="" ns4:_="">
    <xsd:import namespace="http://schemas.microsoft.com/sharepoint/v3"/>
    <xsd:import namespace="bd524b57-3e52-4bc5-91f8-8cbdb9d6849d"/>
    <xsd:import namespace="91580b2b-7983-4e04-b017-f5e95aaf44c5"/>
    <xsd:import namespace="cc103603-fa76-4195-9719-fcf5456fd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24b57-3e52-4bc5-91f8-8cbdb9d68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80b2b-7983-4e04-b017-f5e95aaf44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03603-fa76-4195-9719-fcf5456fd87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05704f9-b9d6-461d-aa6c-62bdde322f79}" ma:internalName="TaxCatchAll" ma:showField="CatchAllData" ma:web="cc103603-fa76-4195-9719-fcf5456fd8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103603-fa76-4195-9719-fcf5456fd878" xsi:nil="true"/>
    <lcf76f155ced4ddcb4097134ff3c332f xmlns="bd524b57-3e52-4bc5-91f8-8cbdb9d6849d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030D99-CC07-4AD0-864E-341F188FB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524b57-3e52-4bc5-91f8-8cbdb9d6849d"/>
    <ds:schemaRef ds:uri="91580b2b-7983-4e04-b017-f5e95aaf44c5"/>
    <ds:schemaRef ds:uri="cc103603-fa76-4195-9719-fcf5456fd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93FE08-4099-4517-BE51-F3D9CD599FD5}">
  <ds:schemaRefs>
    <ds:schemaRef ds:uri="http://schemas.microsoft.com/office/2006/metadata/properties"/>
    <ds:schemaRef ds:uri="http://schemas.microsoft.com/office/infopath/2007/PartnerControls"/>
    <ds:schemaRef ds:uri="cc103603-fa76-4195-9719-fcf5456fd878"/>
    <ds:schemaRef ds:uri="bd524b57-3e52-4bc5-91f8-8cbdb9d6849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958D87A-5FA8-4840-91E6-6FBF23C141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Phòng thuốc 03_2026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Huong Pham Thi Ngoc</cp:lastModifiedBy>
  <cp:revision/>
  <dcterms:created xsi:type="dcterms:W3CDTF">2025-05-28T04:23:01Z</dcterms:created>
  <dcterms:modified xsi:type="dcterms:W3CDTF">2026-04-16T07:41:50Z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0x0101003E0E541FB879B746BA46A61D1AA3B5BA</vt:lpwstr>
  </property>
  <property fmtid="{D5CDD505-2E9C-101B-9397-08002B2CF9AE}" pid="3" name="MediaServiceImageTags">
    <vt:lpwstr/>
  </property>
</Properties>
</file>